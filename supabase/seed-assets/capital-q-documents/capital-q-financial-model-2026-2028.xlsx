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Assumptions" sheetId="2" state="visible" r:id="rId4"/>
    <sheet name="Annual Summary" sheetId="3" state="visible" r:id="rId5"/>
    <sheet name="Monthly Model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<sst xmlns="http://schemas.openxmlformats.org/spreadsheetml/2006/main" count="269" uniqueCount="173">
  <si>
    <t xml:space="preserve">DEMONSTRATION DOCUMENT — illustrative, prepared for the Capital Q product demo. Not a legal or financial record.</t>
  </si>
  <si>
    <t xml:space="preserve">Capital Q — Financial model 2026–2028</t>
  </si>
  <si>
    <t xml:space="preserve">Home of Private Capital · Lagos, Nigeria · pre-seed</t>
  </si>
  <si>
    <t xml:space="preserve">What this is: an illustrative 36-month model (Jan 2026 – Dec 2028) built for the Capital Q product demo.</t>
  </si>
  <si>
    <t xml:space="preserve">Jan–Sep 2026 are self-reported demonstration actuals; Oct 2026 onward is forecast. Nothing here is verified.</t>
  </si>
  <si>
    <t xml:space="preserve">Figures shared with the Capital Q profile (MRR, ARR, accounts, margins, team, raise) reconcile on 'Annual Summary'.</t>
  </si>
  <si>
    <t xml:space="preserve">Sheets: Assumptions (all inputs) · Monthly Model (formulas) · Annual Summary (roll-up and reconciliation).</t>
  </si>
  <si>
    <t xml:space="preserve">Colour key: blue text = hardcoded input · black = formula · green = link to another sheet · yellow fill = key assumption.</t>
  </si>
  <si>
    <t xml:space="preserve">Currency: USD throughout. Cash is modelled before tax; no debt.</t>
  </si>
  <si>
    <t xml:space="preserve">Assumptions (inputs)</t>
  </si>
  <si>
    <t xml:space="preserve">Input</t>
  </si>
  <si>
    <t xml:space="preserve">Unit</t>
  </si>
  <si>
    <t xml:space="preserve">2026</t>
  </si>
  <si>
    <t xml:space="preserve">2027</t>
  </si>
  <si>
    <t xml:space="preserve">2028</t>
  </si>
  <si>
    <t xml:space="preserve">Note / source</t>
  </si>
  <si>
    <t xml:space="preserve">Revenue</t>
  </si>
  <si>
    <t xml:space="preserve">New paying investor firms per month, Jan–Jun</t>
  </si>
  <si>
    <t xml:space="preserve">accounts</t>
  </si>
  <si>
    <t xml:space="preserve">Forecast months only; 2026 H1 is actual.</t>
  </si>
  <si>
    <t xml:space="preserve">New paying investor firms per month, Jul–Dec</t>
  </si>
  <si>
    <t xml:space="preserve">Used from Oct 2026 (Jul–Sep 2026 are actual).</t>
  </si>
  <si>
    <t xml:space="preserve">Monthly logo churn</t>
  </si>
  <si>
    <t xml:space="preserve">% / month</t>
  </si>
  <si>
    <t xml:space="preserve">Illustrative; pilot cohort too young to measure.</t>
  </si>
  <si>
    <t xml:space="preserve">ARPA growth (expansion)</t>
  </si>
  <si>
    <t xml:space="preserve">Seats and GateQ add-ons; NRR 112% reported Q3 2026.</t>
  </si>
  <si>
    <t xml:space="preserve">Cost of revenue and variable costs</t>
  </si>
  <si>
    <t xml:space="preserve">Cost of revenue (hosting, model inference, payment fees)</t>
  </si>
  <si>
    <t xml:space="preserve">% of revenue</t>
  </si>
  <si>
    <t xml:space="preserve">Gives the 78% gross margin reported for Q3 2026.</t>
  </si>
  <si>
    <t xml:space="preserve">Variable pilot onboarding and support</t>
  </si>
  <si>
    <t xml:space="preserve">Gives the 61% contribution margin reported for Q3 2026.</t>
  </si>
  <si>
    <t xml:space="preserve">People (monthly cost per head)</t>
  </si>
  <si>
    <t xml:space="preserve">Founders</t>
  </si>
  <si>
    <t xml:space="preserve">USD / head / month</t>
  </si>
  <si>
    <t xml:space="preserve">Founders take modest pay until the SAFE closes.</t>
  </si>
  <si>
    <t xml:space="preserve">Engineering</t>
  </si>
  <si>
    <t xml:space="preserve">Lagos market rates, illustrative.</t>
  </si>
  <si>
    <t xml:space="preserve">Go-to-market and operations</t>
  </si>
  <si>
    <t xml:space="preserve">Investor network, partnerships, customer success.</t>
  </si>
  <si>
    <t xml:space="preserve">Employer on-costs (pension, HMO, levies)</t>
  </si>
  <si>
    <t xml:space="preserve">% of salary</t>
  </si>
  <si>
    <t xml:space="preserve">Illustrative.</t>
  </si>
  <si>
    <t xml:space="preserve">Fixed operating costs (per month)</t>
  </si>
  <si>
    <t xml:space="preserve">Software and tools</t>
  </si>
  <si>
    <t xml:space="preserve">USD / month</t>
  </si>
  <si>
    <t xml:space="preserve">Office and co-working</t>
  </si>
  <si>
    <t xml:space="preserve">Legal, accounting and compliance</t>
  </si>
  <si>
    <t xml:space="preserve">Travel and investor-network events (West and East Africa)</t>
  </si>
  <si>
    <t xml:space="preserve">Use of funds: grow the investor network.</t>
  </si>
  <si>
    <t xml:space="preserve">Marketing</t>
  </si>
  <si>
    <t xml:space="preserve">Verification and data-room partnerships</t>
  </si>
  <si>
    <t xml:space="preserve">Use of funds: Capital Q's own verification and data-room partnerships.</t>
  </si>
  <si>
    <t xml:space="preserve">Funding and cash</t>
  </si>
  <si>
    <t xml:space="preserve">Opening cash, 1 Jan 2026 (founder funding)</t>
  </si>
  <si>
    <t xml:space="preserve">USD</t>
  </si>
  <si>
    <t xml:space="preserve">Pre-seed SAFE amount</t>
  </si>
  <si>
    <t xml:space="preserve">Matches companies.json raise target (USD 1,500,000, SAFE, pre-seed).</t>
  </si>
  <si>
    <t xml:space="preserve">SAFE cash received — year</t>
  </si>
  <si>
    <t xml:space="preserve">year</t>
  </si>
  <si>
    <t xml:space="preserve">SAFE cash received — month</t>
  </si>
  <si>
    <t xml:space="preserve">month (1–12)</t>
  </si>
  <si>
    <t xml:space="preserve">Target close 2027-03-31; modelled as received in March 2027.</t>
  </si>
  <si>
    <t xml:space="preserve">Actuals (self-reported demonstration data, Jan–Sep 2026)</t>
  </si>
  <si>
    <t xml:space="preserve">Entered directly as blue inputs on 'Monthly Model' rows 'Paying investor firms' and 'MRR' for Jan–Sep 2026.</t>
  </si>
  <si>
    <t xml:space="preserve">Annual summary and reconciliation to the Capital Q profile</t>
  </si>
  <si>
    <t xml:space="preserve">USD unless stated</t>
  </si>
  <si>
    <t xml:space="preserve">FY2026</t>
  </si>
  <si>
    <t xml:space="preserve">FY2027</t>
  </si>
  <si>
    <t xml:space="preserve">FY2028</t>
  </si>
  <si>
    <t xml:space="preserve">Cost of revenue</t>
  </si>
  <si>
    <t xml:space="preserve">Gross profit</t>
  </si>
  <si>
    <t xml:space="preserve">Gross margin</t>
  </si>
  <si>
    <t xml:space="preserve">Contribution</t>
  </si>
  <si>
    <t xml:space="preserve">Contribution margin</t>
  </si>
  <si>
    <t xml:space="preserve">Payroll incl. on-costs</t>
  </si>
  <si>
    <t xml:space="preserve">Total operating costs</t>
  </si>
  <si>
    <t xml:space="preserve">EBITDA</t>
  </si>
  <si>
    <t xml:space="preserve">Net burn</t>
  </si>
  <si>
    <t xml:space="preserve">Equity / SAFE received</t>
  </si>
  <si>
    <t xml:space="preserve">Closing cash (December)</t>
  </si>
  <si>
    <t xml:space="preserve">Exit MRR (December)</t>
  </si>
  <si>
    <t xml:space="preserve">Exit ARR run-rate (December)</t>
  </si>
  <si>
    <t xml:space="preserve">Paying investor firms (December)</t>
  </si>
  <si>
    <t xml:space="preserve">Headcount (December)</t>
  </si>
  <si>
    <t xml:space="preserve">Runway at December (months)</t>
  </si>
  <si>
    <t xml:space="preserve">Reconciliation to the Capital Q profile (companies.json, as of 2026-09-30)</t>
  </si>
  <si>
    <t xml:space="preserve">Profile figure</t>
  </si>
  <si>
    <t xml:space="preserve">Profile value</t>
  </si>
  <si>
    <t xml:space="preserve">Model value</t>
  </si>
  <si>
    <t xml:space="preserve">Check</t>
  </si>
  <si>
    <t xml:space="preserve">Model source</t>
  </si>
  <si>
    <t xml:space="preserve">Monthly recurring revenue, Sep 2026 (USD)</t>
  </si>
  <si>
    <t xml:space="preserve">Monthly Model, Sep 26</t>
  </si>
  <si>
    <t xml:space="preserve">ARR run-rate, end Sep 2026 (USD)</t>
  </si>
  <si>
    <t xml:space="preserve">MRR × 12</t>
  </si>
  <si>
    <t xml:space="preserve">Paying investor firms, Sep 2026</t>
  </si>
  <si>
    <t xml:space="preserve">MRR growth Jun → Sep 2026</t>
  </si>
  <si>
    <t xml:space="preserve">USD 3,000 → USD 4,800</t>
  </si>
  <si>
    <t xml:space="preserve">Gross margin, Q3 2026</t>
  </si>
  <si>
    <t xml:space="preserve">Jul–Sep 2026</t>
  </si>
  <si>
    <t xml:space="preserve">Contribution margin, Q3 2026</t>
  </si>
  <si>
    <t xml:space="preserve">Team size, Sep 2026</t>
  </si>
  <si>
    <t xml:space="preserve">Headcount, Sep 26</t>
  </si>
  <si>
    <t xml:space="preserve">Pre-seed SAFE raise (USD)</t>
  </si>
  <si>
    <t xml:space="preserve">Assumptions</t>
  </si>
  <si>
    <t xml:space="preserve">Reported but not modelled: net revenue retention 112% (Q3 2026); 1,240 active founders and investors (Sep 2026);</t>
  </si>
  <si>
    <t xml:space="preserve">estimated market USD 1.2 billion annual spend on deal sourcing and diligence tools (ESTIMATE). All self-reported, unverified.</t>
  </si>
  <si>
    <t xml:space="preserve">Monthly model, USD (Jan 2026 – Dec 2028)</t>
  </si>
  <si>
    <t xml:space="preserve">Line</t>
  </si>
  <si>
    <t xml:space="preserve">Jan 26</t>
  </si>
  <si>
    <t xml:space="preserve">Feb 26</t>
  </si>
  <si>
    <t xml:space="preserve">Mar 26</t>
  </si>
  <si>
    <t xml:space="preserve">Apr 26</t>
  </si>
  <si>
    <t xml:space="preserve">May 26</t>
  </si>
  <si>
    <t xml:space="preserve">Jun 26</t>
  </si>
  <si>
    <t xml:space="preserve">Jul 26</t>
  </si>
  <si>
    <t xml:space="preserve">Aug 26</t>
  </si>
  <si>
    <t xml:space="preserve">Sep 26</t>
  </si>
  <si>
    <t xml:space="preserve">Oct 26</t>
  </si>
  <si>
    <t xml:space="preserve">Nov 26</t>
  </si>
  <si>
    <t xml:space="preserve">Dec 26</t>
  </si>
  <si>
    <t xml:space="preserve">Jan 27</t>
  </si>
  <si>
    <t xml:space="preserve">Feb 27</t>
  </si>
  <si>
    <t xml:space="preserve">Mar 27</t>
  </si>
  <si>
    <t xml:space="preserve">Apr 27</t>
  </si>
  <si>
    <t xml:space="preserve">May 27</t>
  </si>
  <si>
    <t xml:space="preserve">Jun 27</t>
  </si>
  <si>
    <t xml:space="preserve">Jul 27</t>
  </si>
  <si>
    <t xml:space="preserve">Aug 27</t>
  </si>
  <si>
    <t xml:space="preserve">Sep 27</t>
  </si>
  <si>
    <t xml:space="preserve">Oct 27</t>
  </si>
  <si>
    <t xml:space="preserve">Nov 27</t>
  </si>
  <si>
    <t xml:space="preserve">Dec 27</t>
  </si>
  <si>
    <t xml:space="preserve">Jan 28</t>
  </si>
  <si>
    <t xml:space="preserve">Feb 28</t>
  </si>
  <si>
    <t xml:space="preserve">Mar 28</t>
  </si>
  <si>
    <t xml:space="preserve">Apr 28</t>
  </si>
  <si>
    <t xml:space="preserve">May 28</t>
  </si>
  <si>
    <t xml:space="preserve">Jun 28</t>
  </si>
  <si>
    <t xml:space="preserve">Jul 28</t>
  </si>
  <si>
    <t xml:space="preserve">Aug 28</t>
  </si>
  <si>
    <t xml:space="preserve">Sep 28</t>
  </si>
  <si>
    <t xml:space="preserve">Oct 28</t>
  </si>
  <si>
    <t xml:space="preserve">Nov 28</t>
  </si>
  <si>
    <t xml:space="preserve">Dec 28</t>
  </si>
  <si>
    <t xml:space="preserve">Year</t>
  </si>
  <si>
    <t xml:space="preserve">Month</t>
  </si>
  <si>
    <t xml:space="preserve">Actual / forecast</t>
  </si>
  <si>
    <t xml:space="preserve">Actual</t>
  </si>
  <si>
    <t xml:space="preserve">Forecast</t>
  </si>
  <si>
    <t xml:space="preserve">REVENUE</t>
  </si>
  <si>
    <t xml:space="preserve">New paying investor firms</t>
  </si>
  <si>
    <t xml:space="preserve">Paying investor firms (end of month)</t>
  </si>
  <si>
    <t xml:space="preserve">ARPA (average revenue per account)</t>
  </si>
  <si>
    <t xml:space="preserve">MRR (monthly recurring revenue)</t>
  </si>
  <si>
    <t xml:space="preserve">ARR run-rate (MRR × 12)</t>
  </si>
  <si>
    <t xml:space="preserve">MARGINS</t>
  </si>
  <si>
    <t xml:space="preserve">%</t>
  </si>
  <si>
    <t xml:space="preserve">Variable onboarding and support</t>
  </si>
  <si>
    <t xml:space="preserve">HEADCOUNT (end of month)</t>
  </si>
  <si>
    <t xml:space="preserve">people</t>
  </si>
  <si>
    <t xml:space="preserve">Total headcount</t>
  </si>
  <si>
    <t xml:space="preserve">OPERATING COSTS</t>
  </si>
  <si>
    <t xml:space="preserve">Travel and investor-network events</t>
  </si>
  <si>
    <t xml:space="preserve">Total costs (cost of revenue + variable + operating)</t>
  </si>
  <si>
    <t xml:space="preserve">Net burn (positive = cash consumed)</t>
  </si>
  <si>
    <t xml:space="preserve">CASH</t>
  </si>
  <si>
    <t xml:space="preserve">Opening cash</t>
  </si>
  <si>
    <t xml:space="preserve">Closing cash</t>
  </si>
  <si>
    <t xml:space="preserve">Runway at 3-month average burn</t>
  </si>
  <si>
    <t xml:space="preserve">months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</si>
</sst>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;\(#,##0\);\-"/>
    <numFmt numFmtId="166" formatCode="0.0%;\(0.0%\);\-"/>
    <numFmt numFmtId="167" formatCode="#,##0.0;\(#,##0.0\);\-"/>
    <numFmt numFmtId="168" formatCode="0"/>
    <numFmt numFmtId="169" formatCode="@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4"/>
      <color rgb="FF16140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6140F"/>
        <bgColor rgb="FF000000"/>
      </patternFill>
    </fill>
    <fill>
      <patternFill patternType="solid">
        <fgColor rgb="FFF1EDE4"/>
        <bgColor rgb="FFFF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1C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1C1"/>
      <rgbColor rgb="FF808080"/>
      <rgbColor rgb="FF9999FF"/>
      <rgbColor rgb="FF993366"/>
      <rgbColor rgb="FFF1EDE4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6140F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21.75" hidden="false" customHeight="true" outlineLevel="0" collapsed="false">
      <c r="A1" s="1" t="s">
        <v>0</v>
      </c>
      <c r="B1" s="2"/>
      <c r="C1" s="2"/>
      <c r="D1" s="2"/>
      <c r="E1" s="2"/>
      <c r="F1" s="2"/>
    </row>
    <row r="2" customFormat="false" ht="17.35" hidden="false" customHeight="false" outlineLevel="0" collapsed="false">
      <c r="A2" s="3" t="s">
        <v>1</v>
      </c>
    </row>
    <row r="4" customFormat="false" ht="15" hidden="false" customHeight="false" outlineLevel="0" collapsed="false">
      <c r="A4" s="4" t="s">
        <v>2</v>
      </c>
    </row>
    <row r="5" customFormat="false" ht="15" hidden="false" customHeight="false" outlineLevel="0" collapsed="false">
      <c r="A5" s="4"/>
    </row>
    <row r="6" customFormat="false" ht="15" hidden="false" customHeight="false" outlineLevel="0" collapsed="false">
      <c r="A6" s="4" t="s">
        <v>3</v>
      </c>
    </row>
    <row r="7" customFormat="false" ht="15" hidden="false" customHeight="false" outlineLevel="0" collapsed="false">
      <c r="A7" s="4" t="s">
        <v>4</v>
      </c>
    </row>
    <row r="8" customFormat="false" ht="15" hidden="false" customHeight="false" outlineLevel="0" collapsed="false">
      <c r="A8" s="4" t="s">
        <v>5</v>
      </c>
    </row>
    <row r="9" customFormat="false" ht="15" hidden="false" customHeight="false" outlineLevel="0" collapsed="false">
      <c r="A9" s="4"/>
    </row>
    <row r="10" customFormat="false" ht="15" hidden="false" customHeight="false" outlineLevel="0" collapsed="false">
      <c r="A10" s="4" t="s">
        <v>6</v>
      </c>
    </row>
    <row r="11" customFormat="false" ht="15" hidden="false" customHeight="false" outlineLevel="0" collapsed="false">
      <c r="A11" s="4" t="s">
        <v>7</v>
      </c>
    </row>
    <row r="12" customFormat="false" ht="15" hidden="false" customHeight="false" outlineLevel="0" collapsed="false">
      <c r="A12" s="4" t="s">
        <v>8</v>
      </c>
    </row>
  </sheetData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&amp;CDEMONSTRATION DOCUMENT — illustrative</oddHeader>
    <oddFooter>&amp;C&amp;7 DEMONSTRATION DOCUMENT — illustrative, prepared for the Capital Q product demo. Not a legal or financial record.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5" min="2" style="0" width="14"/>
    <col collapsed="false" customWidth="true" hidden="false" outlineLevel="0" max="6" min="6" style="0" width="60"/>
  </cols>
  <sheetData>
    <row r="1" customFormat="false" ht="21.75" hidden="false" customHeight="true" outlineLevel="0" collapsed="false">
      <c r="A1" s="1" t="s">
        <v>0</v>
      </c>
      <c r="B1" s="2"/>
      <c r="C1" s="2"/>
      <c r="D1" s="2"/>
      <c r="E1" s="2"/>
      <c r="F1" s="2"/>
    </row>
    <row r="2" customFormat="false" ht="17.35" hidden="false" customHeight="false" outlineLevel="0" collapsed="false">
      <c r="A2" s="3" t="s">
        <v>9</v>
      </c>
    </row>
    <row r="4" customFormat="false" ht="15" hidden="false" customHeight="false" outlineLevel="0" collapsed="false">
      <c r="A4" s="5" t="s">
        <v>10</v>
      </c>
      <c r="B4" s="6" t="s">
        <v>11</v>
      </c>
      <c r="C4" s="6" t="s">
        <v>12</v>
      </c>
      <c r="D4" s="6" t="s">
        <v>13</v>
      </c>
      <c r="E4" s="6" t="s">
        <v>14</v>
      </c>
      <c r="F4" s="6" t="s">
        <v>15</v>
      </c>
    </row>
    <row r="5" customFormat="false" ht="15" hidden="false" customHeight="false" outlineLevel="0" collapsed="false">
      <c r="A5" s="7" t="s">
        <v>16</v>
      </c>
    </row>
    <row r="6" customFormat="false" ht="15" hidden="false" customHeight="false" outlineLevel="0" collapsed="false">
      <c r="A6" s="4" t="s">
        <v>17</v>
      </c>
      <c r="B6" s="4" t="s">
        <v>18</v>
      </c>
      <c r="C6" s="8" t="n">
        <v>0</v>
      </c>
      <c r="D6" s="8" t="n">
        <v>3</v>
      </c>
      <c r="E6" s="8" t="n">
        <v>8</v>
      </c>
      <c r="F6" s="4" t="s">
        <v>19</v>
      </c>
    </row>
    <row r="7" customFormat="false" ht="15" hidden="false" customHeight="false" outlineLevel="0" collapsed="false">
      <c r="A7" s="4" t="s">
        <v>20</v>
      </c>
      <c r="B7" s="4" t="s">
        <v>18</v>
      </c>
      <c r="C7" s="8" t="n">
        <v>2</v>
      </c>
      <c r="D7" s="8" t="n">
        <v>5</v>
      </c>
      <c r="E7" s="8" t="n">
        <v>8</v>
      </c>
      <c r="F7" s="4" t="s">
        <v>21</v>
      </c>
    </row>
    <row r="8" customFormat="false" ht="15" hidden="false" customHeight="false" outlineLevel="0" collapsed="false">
      <c r="A8" s="4" t="s">
        <v>22</v>
      </c>
      <c r="B8" s="4" t="s">
        <v>23</v>
      </c>
      <c r="C8" s="9" t="n">
        <v>0.015</v>
      </c>
      <c r="D8" s="9" t="n">
        <v>0.015</v>
      </c>
      <c r="E8" s="9" t="n">
        <v>0.015</v>
      </c>
      <c r="F8" s="4" t="s">
        <v>24</v>
      </c>
    </row>
    <row r="9" customFormat="false" ht="15" hidden="false" customHeight="false" outlineLevel="0" collapsed="false">
      <c r="A9" s="4" t="s">
        <v>25</v>
      </c>
      <c r="B9" s="4" t="s">
        <v>23</v>
      </c>
      <c r="C9" s="9" t="n">
        <v>0.01</v>
      </c>
      <c r="D9" s="9" t="n">
        <v>0.01</v>
      </c>
      <c r="E9" s="9" t="n">
        <v>0.01</v>
      </c>
      <c r="F9" s="4" t="s">
        <v>26</v>
      </c>
    </row>
    <row r="11" customFormat="false" ht="15" hidden="false" customHeight="false" outlineLevel="0" collapsed="false">
      <c r="A11" s="7" t="s">
        <v>27</v>
      </c>
    </row>
    <row r="12" customFormat="false" ht="15" hidden="false" customHeight="false" outlineLevel="0" collapsed="false">
      <c r="A12" s="4" t="s">
        <v>28</v>
      </c>
      <c r="B12" s="4" t="s">
        <v>29</v>
      </c>
      <c r="C12" s="9" t="n">
        <v>0.22</v>
      </c>
      <c r="D12" s="9" t="n">
        <v>0.22</v>
      </c>
      <c r="E12" s="9" t="n">
        <v>0.22</v>
      </c>
      <c r="F12" s="4" t="s">
        <v>30</v>
      </c>
    </row>
    <row r="13" customFormat="false" ht="15" hidden="false" customHeight="false" outlineLevel="0" collapsed="false">
      <c r="A13" s="4" t="s">
        <v>31</v>
      </c>
      <c r="B13" s="4" t="s">
        <v>29</v>
      </c>
      <c r="C13" s="9" t="n">
        <v>0.17</v>
      </c>
      <c r="D13" s="9" t="n">
        <v>0.17</v>
      </c>
      <c r="E13" s="9" t="n">
        <v>0.17</v>
      </c>
      <c r="F13" s="4" t="s">
        <v>32</v>
      </c>
    </row>
    <row r="15" customFormat="false" ht="15" hidden="false" customHeight="false" outlineLevel="0" collapsed="false">
      <c r="A15" s="7" t="s">
        <v>33</v>
      </c>
    </row>
    <row r="16" customFormat="false" ht="15" hidden="false" customHeight="false" outlineLevel="0" collapsed="false">
      <c r="A16" s="4" t="s">
        <v>34</v>
      </c>
      <c r="B16" s="4" t="s">
        <v>35</v>
      </c>
      <c r="C16" s="10" t="n">
        <v>1200</v>
      </c>
      <c r="D16" s="10" t="n">
        <v>2500</v>
      </c>
      <c r="E16" s="10" t="n">
        <v>3000</v>
      </c>
      <c r="F16" s="4" t="s">
        <v>36</v>
      </c>
    </row>
    <row r="17" customFormat="false" ht="15" hidden="false" customHeight="false" outlineLevel="0" collapsed="false">
      <c r="A17" s="4" t="s">
        <v>37</v>
      </c>
      <c r="B17" s="4" t="s">
        <v>35</v>
      </c>
      <c r="C17" s="10" t="n">
        <v>2000</v>
      </c>
      <c r="D17" s="10" t="n">
        <v>3000</v>
      </c>
      <c r="E17" s="10" t="n">
        <v>3300</v>
      </c>
      <c r="F17" s="4" t="s">
        <v>38</v>
      </c>
    </row>
    <row r="18" customFormat="false" ht="15" hidden="false" customHeight="false" outlineLevel="0" collapsed="false">
      <c r="A18" s="4" t="s">
        <v>39</v>
      </c>
      <c r="B18" s="4" t="s">
        <v>35</v>
      </c>
      <c r="C18" s="10" t="n">
        <v>1500</v>
      </c>
      <c r="D18" s="10" t="n">
        <v>2200</v>
      </c>
      <c r="E18" s="10" t="n">
        <v>2400</v>
      </c>
      <c r="F18" s="4" t="s">
        <v>40</v>
      </c>
    </row>
    <row r="19" customFormat="false" ht="15" hidden="false" customHeight="false" outlineLevel="0" collapsed="false">
      <c r="A19" s="4" t="s">
        <v>41</v>
      </c>
      <c r="B19" s="4" t="s">
        <v>42</v>
      </c>
      <c r="C19" s="11" t="n">
        <v>0.1</v>
      </c>
      <c r="D19" s="11" t="n">
        <v>0.1</v>
      </c>
      <c r="E19" s="11" t="n">
        <v>0.1</v>
      </c>
      <c r="F19" s="4" t="s">
        <v>43</v>
      </c>
    </row>
    <row r="21" customFormat="false" ht="15" hidden="false" customHeight="false" outlineLevel="0" collapsed="false">
      <c r="A21" s="7" t="s">
        <v>44</v>
      </c>
    </row>
    <row r="22" customFormat="false" ht="15" hidden="false" customHeight="false" outlineLevel="0" collapsed="false">
      <c r="A22" s="4" t="s">
        <v>45</v>
      </c>
      <c r="B22" s="4" t="s">
        <v>46</v>
      </c>
      <c r="C22" s="10" t="n">
        <v>600</v>
      </c>
      <c r="D22" s="10" t="n">
        <v>1500</v>
      </c>
      <c r="E22" s="10" t="n">
        <v>2500</v>
      </c>
      <c r="F22" s="4"/>
    </row>
    <row r="23" customFormat="false" ht="15" hidden="false" customHeight="false" outlineLevel="0" collapsed="false">
      <c r="A23" s="4" t="s">
        <v>47</v>
      </c>
      <c r="B23" s="4" t="s">
        <v>46</v>
      </c>
      <c r="C23" s="10" t="n">
        <v>400</v>
      </c>
      <c r="D23" s="10" t="n">
        <v>1200</v>
      </c>
      <c r="E23" s="10" t="n">
        <v>1800</v>
      </c>
      <c r="F23" s="4"/>
    </row>
    <row r="24" customFormat="false" ht="15" hidden="false" customHeight="false" outlineLevel="0" collapsed="false">
      <c r="A24" s="4" t="s">
        <v>48</v>
      </c>
      <c r="B24" s="4" t="s">
        <v>46</v>
      </c>
      <c r="C24" s="10" t="n">
        <v>300</v>
      </c>
      <c r="D24" s="10" t="n">
        <v>1500</v>
      </c>
      <c r="E24" s="10" t="n">
        <v>1500</v>
      </c>
      <c r="F24" s="4"/>
    </row>
    <row r="25" customFormat="false" ht="15" hidden="false" customHeight="false" outlineLevel="0" collapsed="false">
      <c r="A25" s="4" t="s">
        <v>49</v>
      </c>
      <c r="B25" s="4" t="s">
        <v>46</v>
      </c>
      <c r="C25" s="10" t="n">
        <v>500</v>
      </c>
      <c r="D25" s="10" t="n">
        <v>4000</v>
      </c>
      <c r="E25" s="10" t="n">
        <v>6000</v>
      </c>
      <c r="F25" s="4" t="s">
        <v>50</v>
      </c>
    </row>
    <row r="26" customFormat="false" ht="15" hidden="false" customHeight="false" outlineLevel="0" collapsed="false">
      <c r="A26" s="4" t="s">
        <v>51</v>
      </c>
      <c r="B26" s="4" t="s">
        <v>46</v>
      </c>
      <c r="C26" s="10" t="n">
        <v>300</v>
      </c>
      <c r="D26" s="10" t="n">
        <v>3000</v>
      </c>
      <c r="E26" s="10" t="n">
        <v>5000</v>
      </c>
      <c r="F26" s="4"/>
    </row>
    <row r="27" customFormat="false" ht="15" hidden="false" customHeight="false" outlineLevel="0" collapsed="false">
      <c r="A27" s="4" t="s">
        <v>52</v>
      </c>
      <c r="B27" s="4" t="s">
        <v>46</v>
      </c>
      <c r="C27" s="10" t="n">
        <v>0</v>
      </c>
      <c r="D27" s="10" t="n">
        <v>2500</v>
      </c>
      <c r="E27" s="10" t="n">
        <v>3000</v>
      </c>
      <c r="F27" s="4" t="s">
        <v>53</v>
      </c>
    </row>
    <row r="29" customFormat="false" ht="15" hidden="false" customHeight="false" outlineLevel="0" collapsed="false">
      <c r="A29" s="7" t="s">
        <v>54</v>
      </c>
    </row>
    <row r="30" customFormat="false" ht="15" hidden="false" customHeight="false" outlineLevel="0" collapsed="false">
      <c r="A30" s="4" t="s">
        <v>55</v>
      </c>
      <c r="B30" s="4" t="s">
        <v>56</v>
      </c>
      <c r="C30" s="10" t="n">
        <v>220000</v>
      </c>
      <c r="F30" s="4"/>
    </row>
    <row r="31" customFormat="false" ht="15" hidden="false" customHeight="false" outlineLevel="0" collapsed="false">
      <c r="A31" s="4" t="s">
        <v>57</v>
      </c>
      <c r="B31" s="4" t="s">
        <v>56</v>
      </c>
      <c r="C31" s="8" t="n">
        <v>1500000</v>
      </c>
      <c r="F31" s="4" t="s">
        <v>58</v>
      </c>
    </row>
    <row r="32" customFormat="false" ht="15" hidden="false" customHeight="false" outlineLevel="0" collapsed="false">
      <c r="A32" s="4" t="s">
        <v>59</v>
      </c>
      <c r="B32" s="4" t="s">
        <v>60</v>
      </c>
      <c r="C32" s="12" t="n">
        <v>2027</v>
      </c>
      <c r="F32" s="4"/>
    </row>
    <row r="33" customFormat="false" ht="15" hidden="false" customHeight="false" outlineLevel="0" collapsed="false">
      <c r="A33" s="4" t="s">
        <v>61</v>
      </c>
      <c r="B33" s="4" t="s">
        <v>62</v>
      </c>
      <c r="C33" s="12" t="n">
        <v>3</v>
      </c>
      <c r="F33" s="4" t="s">
        <v>63</v>
      </c>
    </row>
    <row r="35" customFormat="false" ht="15" hidden="false" customHeight="false" outlineLevel="0" collapsed="false">
      <c r="A35" s="7" t="s">
        <v>64</v>
      </c>
    </row>
    <row r="36" customFormat="false" ht="15" hidden="false" customHeight="false" outlineLevel="0" collapsed="false">
      <c r="A36" s="4" t="s">
        <v>65</v>
      </c>
    </row>
  </sheetData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&amp;CDEMONSTRATION DOCUMENT — illustrative</oddHeader>
    <oddFooter>&amp;C&amp;7 DEMONSTRATION DOCUMENT — illustrative, prepared for the Capital Q product demo. Not a legal or financial record.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4" min="2" style="0" width="16"/>
    <col collapsed="false" customWidth="true" hidden="false" outlineLevel="0" max="5" min="5" style="0" width="18"/>
    <col collapsed="false" customWidth="true" hidden="false" outlineLevel="0" max="6" min="6" style="0" width="44"/>
  </cols>
  <sheetData>
    <row r="1" customFormat="false" ht="21.75" hidden="false" customHeight="true" outlineLevel="0" collapsed="false">
      <c r="A1" s="1" t="s">
        <v>0</v>
      </c>
      <c r="B1" s="2"/>
      <c r="C1" s="2"/>
      <c r="D1" s="2"/>
      <c r="E1" s="2"/>
      <c r="F1" s="2"/>
    </row>
    <row r="2" customFormat="false" ht="17.35" hidden="false" customHeight="false" outlineLevel="0" collapsed="false">
      <c r="A2" s="3" t="s">
        <v>66</v>
      </c>
    </row>
    <row r="4" customFormat="false" ht="15" hidden="false" customHeight="false" outlineLevel="0" collapsed="false">
      <c r="A4" s="5" t="s">
        <v>67</v>
      </c>
      <c r="B4" s="6" t="s">
        <v>68</v>
      </c>
      <c r="C4" s="6" t="s">
        <v>69</v>
      </c>
      <c r="D4" s="6" t="s">
        <v>70</v>
      </c>
    </row>
    <row r="5" customFormat="false" ht="15" hidden="false" customHeight="false" outlineLevel="0" collapsed="false">
      <c r="A5" s="4" t="s">
        <v>16</v>
      </c>
      <c r="B5" s="13" t="n">
        <f aca="false">SUMIF('Monthly Model'!$C$5:$AL$5,2026,'Monthly Model'!$C$13:$AL$13)</f>
        <v>37915.9243945438</v>
      </c>
      <c r="C5" s="13" t="n">
        <f aca="false">SUMIF('Monthly Model'!$C$5:$AL$5,2027,'Monthly Model'!$C$13:$AL$13)</f>
        <v>201031.719488632</v>
      </c>
      <c r="D5" s="13" t="n">
        <f aca="false">SUMIF('Monthly Model'!$C$5:$AL$5,2028,'Monthly Model'!$C$13:$AL$13)</f>
        <v>617301.51573024</v>
      </c>
    </row>
    <row r="6" customFormat="false" ht="15" hidden="false" customHeight="false" outlineLevel="0" collapsed="false">
      <c r="A6" s="4" t="s">
        <v>71</v>
      </c>
      <c r="B6" s="13" t="n">
        <f aca="false">SUMIF('Monthly Model'!$C$5:$AL$5,2026,'Monthly Model'!$C$17:$AL$17)</f>
        <v>8341.50336679964</v>
      </c>
      <c r="C6" s="13" t="n">
        <f aca="false">SUMIF('Monthly Model'!$C$5:$AL$5,2027,'Monthly Model'!$C$17:$AL$17)</f>
        <v>44226.9782874991</v>
      </c>
      <c r="D6" s="13" t="n">
        <f aca="false">SUMIF('Monthly Model'!$C$5:$AL$5,2028,'Monthly Model'!$C$17:$AL$17)</f>
        <v>135806.333460653</v>
      </c>
    </row>
    <row r="7" customFormat="false" ht="15" hidden="false" customHeight="false" outlineLevel="0" collapsed="false">
      <c r="A7" s="4" t="s">
        <v>72</v>
      </c>
      <c r="B7" s="13" t="n">
        <f aca="false">SUMIF('Monthly Model'!$C$5:$AL$5,2026,'Monthly Model'!$C$18:$AL$18)</f>
        <v>29574.4210277442</v>
      </c>
      <c r="C7" s="13" t="n">
        <f aca="false">SUMIF('Monthly Model'!$C$5:$AL$5,2027,'Monthly Model'!$C$18:$AL$18)</f>
        <v>156804.741201133</v>
      </c>
      <c r="D7" s="13" t="n">
        <f aca="false">SUMIF('Monthly Model'!$C$5:$AL$5,2028,'Monthly Model'!$C$18:$AL$18)</f>
        <v>481495.182269587</v>
      </c>
    </row>
    <row r="8" customFormat="false" ht="15" hidden="false" customHeight="false" outlineLevel="0" collapsed="false">
      <c r="A8" s="4" t="s">
        <v>73</v>
      </c>
      <c r="B8" s="14" t="n">
        <f aca="false">IF(SUMIF('Monthly Model'!$C$5:$AL$5,2026,'Monthly Model'!$C$13:$AL$13)=0,0,SUMIF('Monthly Model'!$C$5:$AL$5,2026,'Monthly Model'!$C$18:$AL$18)/SUMIF('Monthly Model'!$C$5:$AL$5,2026,'Monthly Model'!$C$13:$AL$13))</f>
        <v>0.78</v>
      </c>
      <c r="C8" s="14" t="n">
        <f aca="false">IF(SUMIF('Monthly Model'!$C$5:$AL$5,2027,'Monthly Model'!$C$13:$AL$13)=0,0,SUMIF('Monthly Model'!$C$5:$AL$5,2027,'Monthly Model'!$C$18:$AL$18)/SUMIF('Monthly Model'!$C$5:$AL$5,2027,'Monthly Model'!$C$13:$AL$13))</f>
        <v>0.78</v>
      </c>
      <c r="D8" s="14" t="n">
        <f aca="false">IF(SUMIF('Monthly Model'!$C$5:$AL$5,2028,'Monthly Model'!$C$13:$AL$13)=0,0,SUMIF('Monthly Model'!$C$5:$AL$5,2028,'Monthly Model'!$C$18:$AL$18)/SUMIF('Monthly Model'!$C$5:$AL$5,2028,'Monthly Model'!$C$13:$AL$13))</f>
        <v>0.78</v>
      </c>
    </row>
    <row r="9" customFormat="false" ht="15" hidden="false" customHeight="false" outlineLevel="0" collapsed="false">
      <c r="A9" s="4" t="s">
        <v>74</v>
      </c>
      <c r="B9" s="13" t="n">
        <f aca="false">SUMIF('Monthly Model'!$C$5:$AL$5,2026,'Monthly Model'!$C$21:$AL$21)</f>
        <v>23128.7138806717</v>
      </c>
      <c r="C9" s="13" t="n">
        <f aca="false">SUMIF('Monthly Model'!$C$5:$AL$5,2027,'Monthly Model'!$C$21:$AL$21)</f>
        <v>122629.348888066</v>
      </c>
      <c r="D9" s="13" t="n">
        <f aca="false">SUMIF('Monthly Model'!$C$5:$AL$5,2028,'Monthly Model'!$C$21:$AL$21)</f>
        <v>376553.924595446</v>
      </c>
    </row>
    <row r="10" customFormat="false" ht="15" hidden="false" customHeight="false" outlineLevel="0" collapsed="false">
      <c r="A10" s="4" t="s">
        <v>75</v>
      </c>
      <c r="B10" s="14" t="n">
        <f aca="false">IF(SUMIF('Monthly Model'!$C$5:$AL$5,2026,'Monthly Model'!$C$13:$AL$13)=0,0,SUMIF('Monthly Model'!$C$5:$AL$5,2026,'Monthly Model'!$C$21:$AL$21)/SUMIF('Monthly Model'!$C$5:$AL$5,2026,'Monthly Model'!$C$13:$AL$13))</f>
        <v>0.61</v>
      </c>
      <c r="C10" s="14" t="n">
        <f aca="false">IF(SUMIF('Monthly Model'!$C$5:$AL$5,2027,'Monthly Model'!$C$13:$AL$13)=0,0,SUMIF('Monthly Model'!$C$5:$AL$5,2027,'Monthly Model'!$C$21:$AL$21)/SUMIF('Monthly Model'!$C$5:$AL$5,2027,'Monthly Model'!$C$13:$AL$13))</f>
        <v>0.61</v>
      </c>
      <c r="D10" s="14" t="n">
        <f aca="false">IF(SUMIF('Monthly Model'!$C$5:$AL$5,2028,'Monthly Model'!$C$13:$AL$13)=0,0,SUMIF('Monthly Model'!$C$5:$AL$5,2028,'Monthly Model'!$C$21:$AL$21)/SUMIF('Monthly Model'!$C$5:$AL$5,2028,'Monthly Model'!$C$13:$AL$13))</f>
        <v>0.61</v>
      </c>
    </row>
    <row r="11" customFormat="false" ht="15" hidden="false" customHeight="false" outlineLevel="0" collapsed="false">
      <c r="A11" s="4" t="s">
        <v>76</v>
      </c>
      <c r="B11" s="13" t="n">
        <f aca="false">SUMIF('Monthly Model'!$C$5:$AL$5,2026,'Monthly Model'!$C$31:$AL$31)</f>
        <v>119130</v>
      </c>
      <c r="C11" s="13" t="n">
        <f aca="false">SUMIF('Monthly Model'!$C$5:$AL$5,2027,'Monthly Model'!$C$31:$AL$31)</f>
        <v>330660</v>
      </c>
      <c r="D11" s="13" t="n">
        <f aca="false">SUMIF('Monthly Model'!$C$5:$AL$5,2028,'Monthly Model'!$C$31:$AL$31)</f>
        <v>564300</v>
      </c>
    </row>
    <row r="12" customFormat="false" ht="15" hidden="false" customHeight="false" outlineLevel="0" collapsed="false">
      <c r="A12" s="4" t="s">
        <v>77</v>
      </c>
      <c r="B12" s="13" t="n">
        <f aca="false">SUMIF('Monthly Model'!$C$5:$AL$5,2026,'Monthly Model'!$C$38:$AL$38)</f>
        <v>144330</v>
      </c>
      <c r="C12" s="13" t="n">
        <f aca="false">SUMIF('Monthly Model'!$C$5:$AL$5,2027,'Monthly Model'!$C$38:$AL$38)</f>
        <v>495060</v>
      </c>
      <c r="D12" s="13" t="n">
        <f aca="false">SUMIF('Monthly Model'!$C$5:$AL$5,2028,'Monthly Model'!$C$38:$AL$38)</f>
        <v>801900</v>
      </c>
    </row>
    <row r="13" customFormat="false" ht="15" hidden="false" customHeight="false" outlineLevel="0" collapsed="false">
      <c r="A13" s="4" t="s">
        <v>78</v>
      </c>
      <c r="B13" s="13" t="n">
        <f aca="false">SUMIF('Monthly Model'!$C$5:$AL$5,2026,'Monthly Model'!$C$40:$AL$40)</f>
        <v>-121201.286119328</v>
      </c>
      <c r="C13" s="13" t="n">
        <f aca="false">SUMIF('Monthly Model'!$C$5:$AL$5,2027,'Monthly Model'!$C$40:$AL$40)</f>
        <v>-372430.651111934</v>
      </c>
      <c r="D13" s="13" t="n">
        <f aca="false">SUMIF('Monthly Model'!$C$5:$AL$5,2028,'Monthly Model'!$C$40:$AL$40)</f>
        <v>-425346.075404554</v>
      </c>
    </row>
    <row r="14" customFormat="false" ht="15" hidden="false" customHeight="false" outlineLevel="0" collapsed="false">
      <c r="A14" s="4" t="s">
        <v>79</v>
      </c>
      <c r="B14" s="13" t="n">
        <f aca="false">SUMIF('Monthly Model'!$C$5:$AL$5,2026,'Monthly Model'!$C$41:$AL$41)</f>
        <v>121201.286119328</v>
      </c>
      <c r="C14" s="13" t="n">
        <f aca="false">SUMIF('Monthly Model'!$C$5:$AL$5,2027,'Monthly Model'!$C$41:$AL$41)</f>
        <v>372430.651111934</v>
      </c>
      <c r="D14" s="13" t="n">
        <f aca="false">SUMIF('Monthly Model'!$C$5:$AL$5,2028,'Monthly Model'!$C$41:$AL$41)</f>
        <v>425346.075404554</v>
      </c>
    </row>
    <row r="15" customFormat="false" ht="15" hidden="false" customHeight="false" outlineLevel="0" collapsed="false">
      <c r="A15" s="4" t="s">
        <v>80</v>
      </c>
      <c r="B15" s="13" t="n">
        <f aca="false">SUMIF('Monthly Model'!$C$5:$AL$5,2026,'Monthly Model'!$C$45:$AL$45)</f>
        <v>0</v>
      </c>
      <c r="C15" s="13" t="n">
        <f aca="false">SUMIF('Monthly Model'!$C$5:$AL$5,2027,'Monthly Model'!$C$45:$AL$45)</f>
        <v>1500000</v>
      </c>
      <c r="D15" s="13" t="n">
        <f aca="false">SUMIF('Monthly Model'!$C$5:$AL$5,2028,'Monthly Model'!$C$45:$AL$45)</f>
        <v>0</v>
      </c>
    </row>
    <row r="16" customFormat="false" ht="15" hidden="false" customHeight="false" outlineLevel="0" collapsed="false">
      <c r="A16" s="4" t="s">
        <v>81</v>
      </c>
      <c r="B16" s="13" t="n">
        <f aca="false">INDEX('Monthly Model'!$C$46:$AL$46,12)</f>
        <v>98798.7138806717</v>
      </c>
      <c r="C16" s="13" t="n">
        <f aca="false">INDEX('Monthly Model'!$C$46:$AL$46,24)</f>
        <v>1226368.06276874</v>
      </c>
      <c r="D16" s="13" t="n">
        <f aca="false">INDEX('Monthly Model'!$C$46:$AL$46,36)</f>
        <v>801021.987364183</v>
      </c>
    </row>
    <row r="17" customFormat="false" ht="15" hidden="false" customHeight="false" outlineLevel="0" collapsed="false">
      <c r="A17" s="4" t="s">
        <v>82</v>
      </c>
      <c r="B17" s="13" t="n">
        <f aca="false">INDEX('Monthly Model'!$C$13:$AL$13,12)</f>
        <v>7162.0382865438</v>
      </c>
      <c r="C17" s="13" t="n">
        <f aca="false">INDEX('Monthly Model'!$C$13:$AL$13,24)</f>
        <v>27504.9687750364</v>
      </c>
      <c r="D17" s="13" t="n">
        <f aca="false">INDEX('Monthly Model'!$C$13:$AL$13,36)</f>
        <v>72143.6984587536</v>
      </c>
    </row>
    <row r="18" customFormat="false" ht="15" hidden="false" customHeight="false" outlineLevel="0" collapsed="false">
      <c r="A18" s="4" t="s">
        <v>83</v>
      </c>
      <c r="B18" s="13" t="n">
        <f aca="false">INDEX('Monthly Model'!$C$14:$AL$14,12)</f>
        <v>85944.4594385256</v>
      </c>
      <c r="C18" s="13" t="n">
        <f aca="false">INDEX('Monthly Model'!$C$14:$AL$14,24)</f>
        <v>330059.625300437</v>
      </c>
      <c r="D18" s="13" t="n">
        <f aca="false">INDEX('Monthly Model'!$C$14:$AL$14,36)</f>
        <v>865724.381505043</v>
      </c>
    </row>
    <row r="19" customFormat="false" ht="15" hidden="false" customHeight="false" outlineLevel="0" collapsed="false">
      <c r="A19" s="4" t="s">
        <v>84</v>
      </c>
      <c r="B19" s="13" t="n">
        <f aca="false">INDEX('Monthly Model'!$C$11:$AL$11,12)</f>
        <v>17.3785095</v>
      </c>
      <c r="C19" s="13" t="n">
        <f aca="false">INDEX('Monthly Model'!$C$11:$AL$11,24)</f>
        <v>59.2284760238715</v>
      </c>
      <c r="D19" s="13" t="n">
        <f aca="false">INDEX('Monthly Model'!$C$11:$AL$11,36)</f>
        <v>137.867315505821</v>
      </c>
    </row>
    <row r="20" customFormat="false" ht="15" hidden="false" customHeight="false" outlineLevel="0" collapsed="false">
      <c r="A20" s="4" t="s">
        <v>85</v>
      </c>
      <c r="B20" s="13" t="n">
        <f aca="false">INDEX('Monthly Model'!$C$28:$AL$28,12)</f>
        <v>6</v>
      </c>
      <c r="C20" s="13" t="n">
        <f aca="false">INDEX('Monthly Model'!$C$28:$AL$28,24)</f>
        <v>12</v>
      </c>
      <c r="D20" s="13" t="n">
        <f aca="false">INDEX('Monthly Model'!$C$28:$AL$28,36)</f>
        <v>16</v>
      </c>
    </row>
    <row r="21" customFormat="false" ht="15" hidden="false" customHeight="false" outlineLevel="0" collapsed="false">
      <c r="A21" s="4" t="s">
        <v>86</v>
      </c>
      <c r="B21" s="15" t="n">
        <f aca="false">INDEX('Monthly Model'!$C$47:$AL$47,12)</f>
        <v>11.5512232204601</v>
      </c>
      <c r="C21" s="15" t="n">
        <f aca="false">INDEX('Monthly Model'!$C$47:$AL$47,24)</f>
        <v>36.8983009201771</v>
      </c>
      <c r="D21" s="15" t="n">
        <f aca="false">INDEX('Monthly Model'!$C$47:$AL$47,36)</f>
        <v>27.0552112457802</v>
      </c>
    </row>
    <row r="24" customFormat="false" ht="15" hidden="false" customHeight="false" outlineLevel="0" collapsed="false">
      <c r="A24" s="7" t="s">
        <v>87</v>
      </c>
    </row>
    <row r="25" customFormat="false" ht="15" hidden="false" customHeight="false" outlineLevel="0" collapsed="false">
      <c r="A25" s="5" t="s">
        <v>88</v>
      </c>
      <c r="B25" s="6" t="s">
        <v>89</v>
      </c>
      <c r="C25" s="6" t="s">
        <v>90</v>
      </c>
      <c r="D25" s="6"/>
      <c r="E25" s="6" t="s">
        <v>91</v>
      </c>
      <c r="F25" s="6" t="s">
        <v>92</v>
      </c>
    </row>
    <row r="26" customFormat="false" ht="15" hidden="false" customHeight="false" outlineLevel="0" collapsed="false">
      <c r="A26" s="4" t="s">
        <v>93</v>
      </c>
      <c r="B26" s="10" t="n">
        <v>4800</v>
      </c>
      <c r="C26" s="13" t="n">
        <f aca="false">'Monthly Model'!K13</f>
        <v>4800</v>
      </c>
      <c r="E26" s="7" t="str">
        <f aca="false">IF(ABS(C26-B26)&lt;0.0005*MAX(1,ABS(B26)),"OK","CHECK")</f>
        <v>OK</v>
      </c>
      <c r="F26" s="4" t="s">
        <v>94</v>
      </c>
    </row>
    <row r="27" customFormat="false" ht="15" hidden="false" customHeight="false" outlineLevel="0" collapsed="false">
      <c r="A27" s="4" t="s">
        <v>95</v>
      </c>
      <c r="B27" s="10" t="n">
        <v>57600</v>
      </c>
      <c r="C27" s="13" t="n">
        <f aca="false">'Monthly Model'!K14</f>
        <v>57600</v>
      </c>
      <c r="E27" s="7" t="str">
        <f aca="false">IF(ABS(C27-B27)&lt;0.0005*MAX(1,ABS(B27)),"OK","CHECK")</f>
        <v>OK</v>
      </c>
      <c r="F27" s="4" t="s">
        <v>96</v>
      </c>
    </row>
    <row r="28" customFormat="false" ht="15" hidden="false" customHeight="false" outlineLevel="0" collapsed="false">
      <c r="A28" s="4" t="s">
        <v>97</v>
      </c>
      <c r="B28" s="10" t="n">
        <v>12</v>
      </c>
      <c r="C28" s="13" t="n">
        <f aca="false">'Monthly Model'!K11</f>
        <v>12</v>
      </c>
      <c r="E28" s="7" t="str">
        <f aca="false">IF(ABS(C28-B28)&lt;0.0005*MAX(1,ABS(B28)),"OK","CHECK")</f>
        <v>OK</v>
      </c>
      <c r="F28" s="4" t="s">
        <v>94</v>
      </c>
    </row>
    <row r="29" customFormat="false" ht="15" hidden="false" customHeight="false" outlineLevel="0" collapsed="false">
      <c r="A29" s="4" t="s">
        <v>98</v>
      </c>
      <c r="B29" s="11" t="n">
        <v>0.6</v>
      </c>
      <c r="C29" s="14" t="n">
        <f aca="false">'Monthly Model'!K13/'Monthly Model'!H13-1</f>
        <v>0.6</v>
      </c>
      <c r="E29" s="7" t="str">
        <f aca="false">IF(ABS(C29-B29)&lt;0.0005*MAX(1,ABS(B29)),"OK","CHECK")</f>
        <v>OK</v>
      </c>
      <c r="F29" s="4" t="s">
        <v>99</v>
      </c>
    </row>
    <row r="30" customFormat="false" ht="15" hidden="false" customHeight="false" outlineLevel="0" collapsed="false">
      <c r="A30" s="4" t="s">
        <v>100</v>
      </c>
      <c r="B30" s="11" t="n">
        <v>0.78</v>
      </c>
      <c r="C30" s="14" t="n">
        <f aca="false">SUM('Monthly Model'!I18:K18)/SUM('Monthly Model'!I13:K13)</f>
        <v>0.78</v>
      </c>
      <c r="E30" s="7" t="str">
        <f aca="false">IF(ABS(C30-B30)&lt;0.0005*MAX(1,ABS(B30)),"OK","CHECK")</f>
        <v>OK</v>
      </c>
      <c r="F30" s="4" t="s">
        <v>101</v>
      </c>
    </row>
    <row r="31" customFormat="false" ht="15" hidden="false" customHeight="false" outlineLevel="0" collapsed="false">
      <c r="A31" s="4" t="s">
        <v>102</v>
      </c>
      <c r="B31" s="11" t="n">
        <v>0.61</v>
      </c>
      <c r="C31" s="14" t="n">
        <f aca="false">SUM('Monthly Model'!I21:K21)/SUM('Monthly Model'!I13:K13)</f>
        <v>0.61</v>
      </c>
      <c r="E31" s="7" t="str">
        <f aca="false">IF(ABS(C31-B31)&lt;0.0005*MAX(1,ABS(B31)),"OK","CHECK")</f>
        <v>OK</v>
      </c>
      <c r="F31" s="4" t="s">
        <v>101</v>
      </c>
    </row>
    <row r="32" customFormat="false" ht="15" hidden="false" customHeight="false" outlineLevel="0" collapsed="false">
      <c r="A32" s="4" t="s">
        <v>103</v>
      </c>
      <c r="B32" s="10" t="n">
        <v>6</v>
      </c>
      <c r="C32" s="13" t="n">
        <f aca="false">'Monthly Model'!K28</f>
        <v>6</v>
      </c>
      <c r="E32" s="7" t="str">
        <f aca="false">IF(ABS(C32-B32)&lt;0.0005*MAX(1,ABS(B32)),"OK","CHECK")</f>
        <v>OK</v>
      </c>
      <c r="F32" s="4" t="s">
        <v>104</v>
      </c>
    </row>
    <row r="33" customFormat="false" ht="15" hidden="false" customHeight="false" outlineLevel="0" collapsed="false">
      <c r="A33" s="4" t="s">
        <v>105</v>
      </c>
      <c r="B33" s="10" t="n">
        <v>1500000</v>
      </c>
      <c r="C33" s="13" t="n">
        <f aca="false">Assumptions!C31</f>
        <v>1500000</v>
      </c>
      <c r="E33" s="7" t="str">
        <f aca="false">IF(ABS(C33-B33)&lt;0.0005*MAX(1,ABS(B33)),"OK","CHECK")</f>
        <v>OK</v>
      </c>
      <c r="F33" s="4" t="s">
        <v>106</v>
      </c>
    </row>
    <row r="35" customFormat="false" ht="15" hidden="false" customHeight="false" outlineLevel="0" collapsed="false">
      <c r="A35" s="4" t="s">
        <v>107</v>
      </c>
    </row>
    <row r="36" customFormat="false" ht="15" hidden="false" customHeight="false" outlineLevel="0" collapsed="false">
      <c r="A36" s="4" t="s">
        <v>108</v>
      </c>
    </row>
  </sheetData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&amp;CDEMONSTRATION DOCUMENT — illustrative</oddHeader>
    <oddFooter>&amp;C&amp;7 DEMONSTRATION DOCUMENT — illustrative, prepared for the Capital Q product demo. Not a legal or financial record.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2"/>
    <col collapsed="false" customWidth="true" hidden="false" outlineLevel="0" max="38" min="3" style="0" width="10.51"/>
  </cols>
  <sheetData>
    <row r="1" customFormat="false" ht="21.75" hidden="false" customHeight="tru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</row>
    <row r="2" customFormat="false" ht="17.35" hidden="false" customHeight="false" outlineLevel="0" collapsed="false">
      <c r="A2" s="3" t="s">
        <v>109</v>
      </c>
    </row>
    <row r="4" customFormat="false" ht="15" hidden="false" customHeight="false" outlineLevel="0" collapsed="false">
      <c r="A4" s="5" t="s">
        <v>110</v>
      </c>
      <c r="B4" s="6" t="s">
        <v>11</v>
      </c>
      <c r="C4" s="6" t="s">
        <v>111</v>
      </c>
      <c r="D4" s="6" t="s">
        <v>112</v>
      </c>
      <c r="E4" s="6" t="s">
        <v>113</v>
      </c>
      <c r="F4" s="6" t="s">
        <v>114</v>
      </c>
      <c r="G4" s="6" t="s">
        <v>115</v>
      </c>
      <c r="H4" s="6" t="s">
        <v>116</v>
      </c>
      <c r="I4" s="6" t="s">
        <v>117</v>
      </c>
      <c r="J4" s="6" t="s">
        <v>118</v>
      </c>
      <c r="K4" s="6" t="s">
        <v>119</v>
      </c>
      <c r="L4" s="6" t="s">
        <v>120</v>
      </c>
      <c r="M4" s="6" t="s">
        <v>121</v>
      </c>
      <c r="N4" s="6" t="s">
        <v>122</v>
      </c>
      <c r="O4" s="6" t="s">
        <v>123</v>
      </c>
      <c r="P4" s="6" t="s">
        <v>124</v>
      </c>
      <c r="Q4" s="6" t="s">
        <v>125</v>
      </c>
      <c r="R4" s="6" t="s">
        <v>126</v>
      </c>
      <c r="S4" s="6" t="s">
        <v>127</v>
      </c>
      <c r="T4" s="6" t="s">
        <v>128</v>
      </c>
      <c r="U4" s="6" t="s">
        <v>129</v>
      </c>
      <c r="V4" s="6" t="s">
        <v>130</v>
      </c>
      <c r="W4" s="6" t="s">
        <v>131</v>
      </c>
      <c r="X4" s="6" t="s">
        <v>132</v>
      </c>
      <c r="Y4" s="6" t="s">
        <v>133</v>
      </c>
      <c r="Z4" s="6" t="s">
        <v>134</v>
      </c>
      <c r="AA4" s="6" t="s">
        <v>135</v>
      </c>
      <c r="AB4" s="6" t="s">
        <v>136</v>
      </c>
      <c r="AC4" s="6" t="s">
        <v>137</v>
      </c>
      <c r="AD4" s="6" t="s">
        <v>138</v>
      </c>
      <c r="AE4" s="6" t="s">
        <v>139</v>
      </c>
      <c r="AF4" s="6" t="s">
        <v>140</v>
      </c>
      <c r="AG4" s="6" t="s">
        <v>141</v>
      </c>
      <c r="AH4" s="6" t="s">
        <v>142</v>
      </c>
      <c r="AI4" s="6" t="s">
        <v>143</v>
      </c>
      <c r="AJ4" s="6" t="s">
        <v>144</v>
      </c>
      <c r="AK4" s="6" t="s">
        <v>145</v>
      </c>
      <c r="AL4" s="6" t="s">
        <v>146</v>
      </c>
    </row>
    <row r="5" customFormat="false" ht="15" hidden="false" customHeight="false" outlineLevel="0" collapsed="false">
      <c r="A5" s="4" t="s">
        <v>147</v>
      </c>
      <c r="B5" s="4"/>
      <c r="C5" s="16" t="n">
        <v>2026</v>
      </c>
      <c r="D5" s="16" t="n">
        <v>2026</v>
      </c>
      <c r="E5" s="16" t="n">
        <v>2026</v>
      </c>
      <c r="F5" s="16" t="n">
        <v>2026</v>
      </c>
      <c r="G5" s="16" t="n">
        <v>2026</v>
      </c>
      <c r="H5" s="16" t="n">
        <v>2026</v>
      </c>
      <c r="I5" s="16" t="n">
        <v>2026</v>
      </c>
      <c r="J5" s="16" t="n">
        <v>2026</v>
      </c>
      <c r="K5" s="16" t="n">
        <v>2026</v>
      </c>
      <c r="L5" s="16" t="n">
        <v>2026</v>
      </c>
      <c r="M5" s="16" t="n">
        <v>2026</v>
      </c>
      <c r="N5" s="16" t="n">
        <v>2026</v>
      </c>
      <c r="O5" s="16" t="n">
        <v>2027</v>
      </c>
      <c r="P5" s="16" t="n">
        <v>2027</v>
      </c>
      <c r="Q5" s="16" t="n">
        <v>2027</v>
      </c>
      <c r="R5" s="16" t="n">
        <v>2027</v>
      </c>
      <c r="S5" s="16" t="n">
        <v>2027</v>
      </c>
      <c r="T5" s="16" t="n">
        <v>2027</v>
      </c>
      <c r="U5" s="16" t="n">
        <v>2027</v>
      </c>
      <c r="V5" s="16" t="n">
        <v>2027</v>
      </c>
      <c r="W5" s="16" t="n">
        <v>2027</v>
      </c>
      <c r="X5" s="16" t="n">
        <v>2027</v>
      </c>
      <c r="Y5" s="16" t="n">
        <v>2027</v>
      </c>
      <c r="Z5" s="16" t="n">
        <v>2027</v>
      </c>
      <c r="AA5" s="16" t="n">
        <v>2028</v>
      </c>
      <c r="AB5" s="16" t="n">
        <v>2028</v>
      </c>
      <c r="AC5" s="16" t="n">
        <v>2028</v>
      </c>
      <c r="AD5" s="16" t="n">
        <v>2028</v>
      </c>
      <c r="AE5" s="16" t="n">
        <v>2028</v>
      </c>
      <c r="AF5" s="16" t="n">
        <v>2028</v>
      </c>
      <c r="AG5" s="16" t="n">
        <v>2028</v>
      </c>
      <c r="AH5" s="16" t="n">
        <v>2028</v>
      </c>
      <c r="AI5" s="16" t="n">
        <v>2028</v>
      </c>
      <c r="AJ5" s="16" t="n">
        <v>2028</v>
      </c>
      <c r="AK5" s="16" t="n">
        <v>2028</v>
      </c>
      <c r="AL5" s="16" t="n">
        <v>2028</v>
      </c>
    </row>
    <row r="6" customFormat="false" ht="15" hidden="false" customHeight="false" outlineLevel="0" collapsed="false">
      <c r="A6" s="4" t="s">
        <v>148</v>
      </c>
      <c r="B6" s="4"/>
      <c r="C6" s="16" t="n">
        <v>1</v>
      </c>
      <c r="D6" s="16" t="n">
        <v>2</v>
      </c>
      <c r="E6" s="16" t="n">
        <v>3</v>
      </c>
      <c r="F6" s="16" t="n">
        <v>4</v>
      </c>
      <c r="G6" s="16" t="n">
        <v>5</v>
      </c>
      <c r="H6" s="16" t="n">
        <v>6</v>
      </c>
      <c r="I6" s="16" t="n">
        <v>7</v>
      </c>
      <c r="J6" s="16" t="n">
        <v>8</v>
      </c>
      <c r="K6" s="16" t="n">
        <v>9</v>
      </c>
      <c r="L6" s="16" t="n">
        <v>10</v>
      </c>
      <c r="M6" s="16" t="n">
        <v>11</v>
      </c>
      <c r="N6" s="16" t="n">
        <v>12</v>
      </c>
      <c r="O6" s="16" t="n">
        <v>1</v>
      </c>
      <c r="P6" s="16" t="n">
        <v>2</v>
      </c>
      <c r="Q6" s="16" t="n">
        <v>3</v>
      </c>
      <c r="R6" s="16" t="n">
        <v>4</v>
      </c>
      <c r="S6" s="16" t="n">
        <v>5</v>
      </c>
      <c r="T6" s="16" t="n">
        <v>6</v>
      </c>
      <c r="U6" s="16" t="n">
        <v>7</v>
      </c>
      <c r="V6" s="16" t="n">
        <v>8</v>
      </c>
      <c r="W6" s="16" t="n">
        <v>9</v>
      </c>
      <c r="X6" s="16" t="n">
        <v>10</v>
      </c>
      <c r="Y6" s="16" t="n">
        <v>11</v>
      </c>
      <c r="Z6" s="16" t="n">
        <v>12</v>
      </c>
      <c r="AA6" s="16" t="n">
        <v>1</v>
      </c>
      <c r="AB6" s="16" t="n">
        <v>2</v>
      </c>
      <c r="AC6" s="16" t="n">
        <v>3</v>
      </c>
      <c r="AD6" s="16" t="n">
        <v>4</v>
      </c>
      <c r="AE6" s="16" t="n">
        <v>5</v>
      </c>
      <c r="AF6" s="16" t="n">
        <v>6</v>
      </c>
      <c r="AG6" s="16" t="n">
        <v>7</v>
      </c>
      <c r="AH6" s="16" t="n">
        <v>8</v>
      </c>
      <c r="AI6" s="16" t="n">
        <v>9</v>
      </c>
      <c r="AJ6" s="16" t="n">
        <v>10</v>
      </c>
      <c r="AK6" s="16" t="n">
        <v>11</v>
      </c>
      <c r="AL6" s="16" t="n">
        <v>12</v>
      </c>
    </row>
    <row r="7" customFormat="false" ht="15" hidden="false" customHeight="false" outlineLevel="0" collapsed="false">
      <c r="A7" s="4" t="s">
        <v>149</v>
      </c>
      <c r="B7" s="4"/>
      <c r="C7" s="17" t="s">
        <v>150</v>
      </c>
      <c r="D7" s="17" t="s">
        <v>150</v>
      </c>
      <c r="E7" s="17" t="s">
        <v>150</v>
      </c>
      <c r="F7" s="17" t="s">
        <v>150</v>
      </c>
      <c r="G7" s="17" t="s">
        <v>150</v>
      </c>
      <c r="H7" s="17" t="s">
        <v>150</v>
      </c>
      <c r="I7" s="17" t="s">
        <v>150</v>
      </c>
      <c r="J7" s="17" t="s">
        <v>150</v>
      </c>
      <c r="K7" s="17" t="s">
        <v>150</v>
      </c>
      <c r="L7" s="17" t="s">
        <v>151</v>
      </c>
      <c r="M7" s="17" t="s">
        <v>151</v>
      </c>
      <c r="N7" s="17" t="s">
        <v>151</v>
      </c>
      <c r="O7" s="17" t="s">
        <v>151</v>
      </c>
      <c r="P7" s="17" t="s">
        <v>151</v>
      </c>
      <c r="Q7" s="17" t="s">
        <v>151</v>
      </c>
      <c r="R7" s="17" t="s">
        <v>151</v>
      </c>
      <c r="S7" s="17" t="s">
        <v>151</v>
      </c>
      <c r="T7" s="17" t="s">
        <v>151</v>
      </c>
      <c r="U7" s="17" t="s">
        <v>151</v>
      </c>
      <c r="V7" s="17" t="s">
        <v>151</v>
      </c>
      <c r="W7" s="17" t="s">
        <v>151</v>
      </c>
      <c r="X7" s="17" t="s">
        <v>151</v>
      </c>
      <c r="Y7" s="17" t="s">
        <v>151</v>
      </c>
      <c r="Z7" s="17" t="s">
        <v>151</v>
      </c>
      <c r="AA7" s="17" t="s">
        <v>151</v>
      </c>
      <c r="AB7" s="17" t="s">
        <v>151</v>
      </c>
      <c r="AC7" s="17" t="s">
        <v>151</v>
      </c>
      <c r="AD7" s="17" t="s">
        <v>151</v>
      </c>
      <c r="AE7" s="17" t="s">
        <v>151</v>
      </c>
      <c r="AF7" s="17" t="s">
        <v>151</v>
      </c>
      <c r="AG7" s="17" t="s">
        <v>151</v>
      </c>
      <c r="AH7" s="17" t="s">
        <v>151</v>
      </c>
      <c r="AI7" s="17" t="s">
        <v>151</v>
      </c>
      <c r="AJ7" s="17" t="s">
        <v>151</v>
      </c>
      <c r="AK7" s="17" t="s">
        <v>151</v>
      </c>
      <c r="AL7" s="17" t="s">
        <v>151</v>
      </c>
    </row>
    <row r="9" customFormat="false" ht="15" hidden="false" customHeight="false" outlineLevel="0" collapsed="false">
      <c r="A9" s="7" t="s">
        <v>152</v>
      </c>
      <c r="B9" s="4"/>
    </row>
    <row r="10" customFormat="false" ht="15" hidden="false" customHeight="false" outlineLevel="0" collapsed="false">
      <c r="A10" s="4" t="s">
        <v>153</v>
      </c>
      <c r="B10" s="4" t="s">
        <v>18</v>
      </c>
      <c r="C10" s="18"/>
      <c r="D10" s="18"/>
      <c r="E10" s="18"/>
      <c r="F10" s="18"/>
      <c r="G10" s="18"/>
      <c r="H10" s="18"/>
      <c r="I10" s="18"/>
      <c r="J10" s="18"/>
      <c r="K10" s="18"/>
      <c r="L10" s="13" t="n">
        <f aca="false">IF(L$6&lt;=6,INDEX(Assumptions!$C$6:$E$6,(L$5-2025)),INDEX(Assumptions!$C$7:$E$7,(L$5-2025)))</f>
        <v>2</v>
      </c>
      <c r="M10" s="13" t="n">
        <f aca="false">IF(M$6&lt;=6,INDEX(Assumptions!$C$6:$E$6,(M$5-2025)),INDEX(Assumptions!$C$7:$E$7,(M$5-2025)))</f>
        <v>2</v>
      </c>
      <c r="N10" s="13" t="n">
        <f aca="false">IF(N$6&lt;=6,INDEX(Assumptions!$C$6:$E$6,(N$5-2025)),INDEX(Assumptions!$C$7:$E$7,(N$5-2025)))</f>
        <v>2</v>
      </c>
      <c r="O10" s="13" t="n">
        <f aca="false">IF(O$6&lt;=6,INDEX(Assumptions!$C$6:$E$6,(O$5-2025)),INDEX(Assumptions!$C$7:$E$7,(O$5-2025)))</f>
        <v>3</v>
      </c>
      <c r="P10" s="13" t="n">
        <f aca="false">IF(P$6&lt;=6,INDEX(Assumptions!$C$6:$E$6,(P$5-2025)),INDEX(Assumptions!$C$7:$E$7,(P$5-2025)))</f>
        <v>3</v>
      </c>
      <c r="Q10" s="13" t="n">
        <f aca="false">IF(Q$6&lt;=6,INDEX(Assumptions!$C$6:$E$6,(Q$5-2025)),INDEX(Assumptions!$C$7:$E$7,(Q$5-2025)))</f>
        <v>3</v>
      </c>
      <c r="R10" s="13" t="n">
        <f aca="false">IF(R$6&lt;=6,INDEX(Assumptions!$C$6:$E$6,(R$5-2025)),INDEX(Assumptions!$C$7:$E$7,(R$5-2025)))</f>
        <v>3</v>
      </c>
      <c r="S10" s="13" t="n">
        <f aca="false">IF(S$6&lt;=6,INDEX(Assumptions!$C$6:$E$6,(S$5-2025)),INDEX(Assumptions!$C$7:$E$7,(S$5-2025)))</f>
        <v>3</v>
      </c>
      <c r="T10" s="13" t="n">
        <f aca="false">IF(T$6&lt;=6,INDEX(Assumptions!$C$6:$E$6,(T$5-2025)),INDEX(Assumptions!$C$7:$E$7,(T$5-2025)))</f>
        <v>3</v>
      </c>
      <c r="U10" s="13" t="n">
        <f aca="false">IF(U$6&lt;=6,INDEX(Assumptions!$C$6:$E$6,(U$5-2025)),INDEX(Assumptions!$C$7:$E$7,(U$5-2025)))</f>
        <v>5</v>
      </c>
      <c r="V10" s="13" t="n">
        <f aca="false">IF(V$6&lt;=6,INDEX(Assumptions!$C$6:$E$6,(V$5-2025)),INDEX(Assumptions!$C$7:$E$7,(V$5-2025)))</f>
        <v>5</v>
      </c>
      <c r="W10" s="13" t="n">
        <f aca="false">IF(W$6&lt;=6,INDEX(Assumptions!$C$6:$E$6,(W$5-2025)),INDEX(Assumptions!$C$7:$E$7,(W$5-2025)))</f>
        <v>5</v>
      </c>
      <c r="X10" s="13" t="n">
        <f aca="false">IF(X$6&lt;=6,INDEX(Assumptions!$C$6:$E$6,(X$5-2025)),INDEX(Assumptions!$C$7:$E$7,(X$5-2025)))</f>
        <v>5</v>
      </c>
      <c r="Y10" s="13" t="n">
        <f aca="false">IF(Y$6&lt;=6,INDEX(Assumptions!$C$6:$E$6,(Y$5-2025)),INDEX(Assumptions!$C$7:$E$7,(Y$5-2025)))</f>
        <v>5</v>
      </c>
      <c r="Z10" s="13" t="n">
        <f aca="false">IF(Z$6&lt;=6,INDEX(Assumptions!$C$6:$E$6,(Z$5-2025)),INDEX(Assumptions!$C$7:$E$7,(Z$5-2025)))</f>
        <v>5</v>
      </c>
      <c r="AA10" s="13" t="n">
        <f aca="false">IF(AA$6&lt;=6,INDEX(Assumptions!$C$6:$E$6,(AA$5-2025)),INDEX(Assumptions!$C$7:$E$7,(AA$5-2025)))</f>
        <v>8</v>
      </c>
      <c r="AB10" s="13" t="n">
        <f aca="false">IF(AB$6&lt;=6,INDEX(Assumptions!$C$6:$E$6,(AB$5-2025)),INDEX(Assumptions!$C$7:$E$7,(AB$5-2025)))</f>
        <v>8</v>
      </c>
      <c r="AC10" s="13" t="n">
        <f aca="false">IF(AC$6&lt;=6,INDEX(Assumptions!$C$6:$E$6,(AC$5-2025)),INDEX(Assumptions!$C$7:$E$7,(AC$5-2025)))</f>
        <v>8</v>
      </c>
      <c r="AD10" s="13" t="n">
        <f aca="false">IF(AD$6&lt;=6,INDEX(Assumptions!$C$6:$E$6,(AD$5-2025)),INDEX(Assumptions!$C$7:$E$7,(AD$5-2025)))</f>
        <v>8</v>
      </c>
      <c r="AE10" s="13" t="n">
        <f aca="false">IF(AE$6&lt;=6,INDEX(Assumptions!$C$6:$E$6,(AE$5-2025)),INDEX(Assumptions!$C$7:$E$7,(AE$5-2025)))</f>
        <v>8</v>
      </c>
      <c r="AF10" s="13" t="n">
        <f aca="false">IF(AF$6&lt;=6,INDEX(Assumptions!$C$6:$E$6,(AF$5-2025)),INDEX(Assumptions!$C$7:$E$7,(AF$5-2025)))</f>
        <v>8</v>
      </c>
      <c r="AG10" s="13" t="n">
        <f aca="false">IF(AG$6&lt;=6,INDEX(Assumptions!$C$6:$E$6,(AG$5-2025)),INDEX(Assumptions!$C$7:$E$7,(AG$5-2025)))</f>
        <v>8</v>
      </c>
      <c r="AH10" s="13" t="n">
        <f aca="false">IF(AH$6&lt;=6,INDEX(Assumptions!$C$6:$E$6,(AH$5-2025)),INDEX(Assumptions!$C$7:$E$7,(AH$5-2025)))</f>
        <v>8</v>
      </c>
      <c r="AI10" s="13" t="n">
        <f aca="false">IF(AI$6&lt;=6,INDEX(Assumptions!$C$6:$E$6,(AI$5-2025)),INDEX(Assumptions!$C$7:$E$7,(AI$5-2025)))</f>
        <v>8</v>
      </c>
      <c r="AJ10" s="13" t="n">
        <f aca="false">IF(AJ$6&lt;=6,INDEX(Assumptions!$C$6:$E$6,(AJ$5-2025)),INDEX(Assumptions!$C$7:$E$7,(AJ$5-2025)))</f>
        <v>8</v>
      </c>
      <c r="AK10" s="13" t="n">
        <f aca="false">IF(AK$6&lt;=6,INDEX(Assumptions!$C$6:$E$6,(AK$5-2025)),INDEX(Assumptions!$C$7:$E$7,(AK$5-2025)))</f>
        <v>8</v>
      </c>
      <c r="AL10" s="13" t="n">
        <f aca="false">IF(AL$6&lt;=6,INDEX(Assumptions!$C$6:$E$6,(AL$5-2025)),INDEX(Assumptions!$C$7:$E$7,(AL$5-2025)))</f>
        <v>8</v>
      </c>
    </row>
    <row r="11" customFormat="false" ht="15" hidden="false" customHeight="false" outlineLevel="0" collapsed="false">
      <c r="A11" s="4" t="s">
        <v>154</v>
      </c>
      <c r="B11" s="4" t="s">
        <v>18</v>
      </c>
      <c r="C11" s="10" t="n">
        <v>0</v>
      </c>
      <c r="D11" s="10" t="n">
        <v>0</v>
      </c>
      <c r="E11" s="10" t="n">
        <v>0</v>
      </c>
      <c r="F11" s="10" t="n">
        <v>3</v>
      </c>
      <c r="G11" s="10" t="n">
        <v>5</v>
      </c>
      <c r="H11" s="10" t="n">
        <v>8</v>
      </c>
      <c r="I11" s="10" t="n">
        <v>9</v>
      </c>
      <c r="J11" s="10" t="n">
        <v>10</v>
      </c>
      <c r="K11" s="10" t="n">
        <v>12</v>
      </c>
      <c r="L11" s="19" t="n">
        <f aca="false">K11*(1-INDEX(Assumptions!$C$8:$E$8,(L$5-2025)))+L10</f>
        <v>13.82</v>
      </c>
      <c r="M11" s="19" t="n">
        <f aca="false">L11*(1-INDEX(Assumptions!$C$8:$E$8,(M$5-2025)))+M10</f>
        <v>15.6127</v>
      </c>
      <c r="N11" s="19" t="n">
        <f aca="false">M11*(1-INDEX(Assumptions!$C$8:$E$8,(N$5-2025)))+N10</f>
        <v>17.3785095</v>
      </c>
      <c r="O11" s="19" t="n">
        <f aca="false">N11*(1-INDEX(Assumptions!$C$8:$E$8,(O$5-2025)))+O10</f>
        <v>20.1178318575</v>
      </c>
      <c r="P11" s="19" t="n">
        <f aca="false">O11*(1-INDEX(Assumptions!$C$8:$E$8,(P$5-2025)))+P10</f>
        <v>22.8160643796375</v>
      </c>
      <c r="Q11" s="19" t="n">
        <f aca="false">P11*(1-INDEX(Assumptions!$C$8:$E$8,(Q$5-2025)))+Q10</f>
        <v>25.4738234139429</v>
      </c>
      <c r="R11" s="19" t="n">
        <f aca="false">Q11*(1-INDEX(Assumptions!$C$8:$E$8,(R$5-2025)))+R10</f>
        <v>28.0917160627338</v>
      </c>
      <c r="S11" s="19" t="n">
        <f aca="false">R11*(1-INDEX(Assumptions!$C$8:$E$8,(S$5-2025)))+S10</f>
        <v>30.6703403217928</v>
      </c>
      <c r="T11" s="19" t="n">
        <f aca="false">S11*(1-INDEX(Assumptions!$C$8:$E$8,(T$5-2025)))+T10</f>
        <v>33.2102852169659</v>
      </c>
      <c r="U11" s="19" t="n">
        <f aca="false">T11*(1-INDEX(Assumptions!$C$8:$E$8,(U$5-2025)))+U10</f>
        <v>37.7121309387114</v>
      </c>
      <c r="V11" s="19" t="n">
        <f aca="false">U11*(1-INDEX(Assumptions!$C$8:$E$8,(V$5-2025)))+V10</f>
        <v>42.1464489746307</v>
      </c>
      <c r="W11" s="19" t="n">
        <f aca="false">V11*(1-INDEX(Assumptions!$C$8:$E$8,(W$5-2025)))+W10</f>
        <v>46.5142522400113</v>
      </c>
      <c r="X11" s="19" t="n">
        <f aca="false">W11*(1-INDEX(Assumptions!$C$8:$E$8,(X$5-2025)))+X10</f>
        <v>50.8165384564111</v>
      </c>
      <c r="Y11" s="19" t="n">
        <f aca="false">X11*(1-INDEX(Assumptions!$C$8:$E$8,(Y$5-2025)))+Y10</f>
        <v>55.0542903795649</v>
      </c>
      <c r="Z11" s="19" t="n">
        <f aca="false">Y11*(1-INDEX(Assumptions!$C$8:$E$8,(Z$5-2025)))+Z10</f>
        <v>59.2284760238715</v>
      </c>
      <c r="AA11" s="19" t="n">
        <f aca="false">Z11*(1-INDEX(Assumptions!$C$8:$E$8,(AA$5-2025)))+AA10</f>
        <v>66.3400488835134</v>
      </c>
      <c r="AB11" s="19" t="n">
        <f aca="false">AA11*(1-INDEX(Assumptions!$C$8:$E$8,(AB$5-2025)))+AB10</f>
        <v>73.3449481502607</v>
      </c>
      <c r="AC11" s="19" t="n">
        <f aca="false">AB11*(1-INDEX(Assumptions!$C$8:$E$8,(AC$5-2025)))+AC10</f>
        <v>80.2447739280068</v>
      </c>
      <c r="AD11" s="19" t="n">
        <f aca="false">AC11*(1-INDEX(Assumptions!$C$8:$E$8,(AD$5-2025)))+AD10</f>
        <v>87.0411023190867</v>
      </c>
      <c r="AE11" s="19" t="n">
        <f aca="false">AD11*(1-INDEX(Assumptions!$C$8:$E$8,(AE$5-2025)))+AE10</f>
        <v>93.7354857843004</v>
      </c>
      <c r="AF11" s="19" t="n">
        <f aca="false">AE11*(1-INDEX(Assumptions!$C$8:$E$8,(AF$5-2025)))+AF10</f>
        <v>100.329453497536</v>
      </c>
      <c r="AG11" s="19" t="n">
        <f aca="false">AF11*(1-INDEX(Assumptions!$C$8:$E$8,(AG$5-2025)))+AG10</f>
        <v>106.824511695073</v>
      </c>
      <c r="AH11" s="19" t="n">
        <f aca="false">AG11*(1-INDEX(Assumptions!$C$8:$E$8,(AH$5-2025)))+AH10</f>
        <v>113.222144019647</v>
      </c>
      <c r="AI11" s="19" t="n">
        <f aca="false">AH11*(1-INDEX(Assumptions!$C$8:$E$8,(AI$5-2025)))+AI10</f>
        <v>119.523811859352</v>
      </c>
      <c r="AJ11" s="19" t="n">
        <f aca="false">AI11*(1-INDEX(Assumptions!$C$8:$E$8,(AJ$5-2025)))+AJ10</f>
        <v>125.730954681462</v>
      </c>
      <c r="AK11" s="19" t="n">
        <f aca="false">AJ11*(1-INDEX(Assumptions!$C$8:$E$8,(AK$5-2025)))+AK10</f>
        <v>131.84499036124</v>
      </c>
      <c r="AL11" s="19" t="n">
        <f aca="false">AK11*(1-INDEX(Assumptions!$C$8:$E$8,(AL$5-2025)))+AL10</f>
        <v>137.867315505821</v>
      </c>
    </row>
    <row r="12" customFormat="false" ht="15" hidden="false" customHeight="false" outlineLevel="0" collapsed="false">
      <c r="A12" s="4" t="s">
        <v>155</v>
      </c>
      <c r="B12" s="4" t="s">
        <v>56</v>
      </c>
      <c r="C12" s="18" t="n">
        <f aca="false">IF(C11=0,0,C13/C11)</f>
        <v>0</v>
      </c>
      <c r="D12" s="18" t="n">
        <f aca="false">IF(D11=0,0,D13/D11)</f>
        <v>0</v>
      </c>
      <c r="E12" s="18" t="n">
        <f aca="false">IF(E11=0,0,E13/E11)</f>
        <v>0</v>
      </c>
      <c r="F12" s="18" t="n">
        <f aca="false">IF(F11=0,0,F13/F11)</f>
        <v>400</v>
      </c>
      <c r="G12" s="18" t="n">
        <f aca="false">IF(G11=0,0,G13/G11)</f>
        <v>400</v>
      </c>
      <c r="H12" s="18" t="n">
        <f aca="false">IF(H11=0,0,H13/H11)</f>
        <v>375</v>
      </c>
      <c r="I12" s="18" t="n">
        <f aca="false">IF(I11=0,0,I13/I11)</f>
        <v>400</v>
      </c>
      <c r="J12" s="18" t="n">
        <f aca="false">IF(J11=0,0,J13/J11)</f>
        <v>420</v>
      </c>
      <c r="K12" s="18" t="n">
        <f aca="false">IF(K11=0,0,K13/K11)</f>
        <v>400</v>
      </c>
      <c r="L12" s="18" t="n">
        <f aca="false">K12*(1+INDEX(Assumptions!$C$9:$E$9,(L$5-2025)))</f>
        <v>404</v>
      </c>
      <c r="M12" s="18" t="n">
        <f aca="false">L12*(1+INDEX(Assumptions!$C$9:$E$9,(M$5-2025)))</f>
        <v>408.04</v>
      </c>
      <c r="N12" s="18" t="n">
        <f aca="false">M12*(1+INDEX(Assumptions!$C$9:$E$9,(N$5-2025)))</f>
        <v>412.1204</v>
      </c>
      <c r="O12" s="18" t="n">
        <f aca="false">N12*(1+INDEX(Assumptions!$C$9:$E$9,(O$5-2025)))</f>
        <v>416.241604</v>
      </c>
      <c r="P12" s="18" t="n">
        <f aca="false">O12*(1+INDEX(Assumptions!$C$9:$E$9,(P$5-2025)))</f>
        <v>420.40402004</v>
      </c>
      <c r="Q12" s="18" t="n">
        <f aca="false">P12*(1+INDEX(Assumptions!$C$9:$E$9,(Q$5-2025)))</f>
        <v>424.6080602404</v>
      </c>
      <c r="R12" s="18" t="n">
        <f aca="false">Q12*(1+INDEX(Assumptions!$C$9:$E$9,(R$5-2025)))</f>
        <v>428.854140842804</v>
      </c>
      <c r="S12" s="18" t="n">
        <f aca="false">R12*(1+INDEX(Assumptions!$C$9:$E$9,(S$5-2025)))</f>
        <v>433.142682251232</v>
      </c>
      <c r="T12" s="18" t="n">
        <f aca="false">S12*(1+INDEX(Assumptions!$C$9:$E$9,(T$5-2025)))</f>
        <v>437.474109073744</v>
      </c>
      <c r="U12" s="18" t="n">
        <f aca="false">T12*(1+INDEX(Assumptions!$C$9:$E$9,(U$5-2025)))</f>
        <v>441.848850164482</v>
      </c>
      <c r="V12" s="18" t="n">
        <f aca="false">U12*(1+INDEX(Assumptions!$C$9:$E$9,(V$5-2025)))</f>
        <v>446.267338666127</v>
      </c>
      <c r="W12" s="18" t="n">
        <f aca="false">V12*(1+INDEX(Assumptions!$C$9:$E$9,(W$5-2025)))</f>
        <v>450.730012052788</v>
      </c>
      <c r="X12" s="18" t="n">
        <f aca="false">W12*(1+INDEX(Assumptions!$C$9:$E$9,(X$5-2025)))</f>
        <v>455.237312173316</v>
      </c>
      <c r="Y12" s="18" t="n">
        <f aca="false">X12*(1+INDEX(Assumptions!$C$9:$E$9,(Y$5-2025)))</f>
        <v>459.789685295049</v>
      </c>
      <c r="Z12" s="18" t="n">
        <f aca="false">Y12*(1+INDEX(Assumptions!$C$9:$E$9,(Z$5-2025)))</f>
        <v>464.387582147999</v>
      </c>
      <c r="AA12" s="18" t="n">
        <f aca="false">Z12*(1+INDEX(Assumptions!$C$9:$E$9,(AA$5-2025)))</f>
        <v>469.031457969479</v>
      </c>
      <c r="AB12" s="18" t="n">
        <f aca="false">AA12*(1+INDEX(Assumptions!$C$9:$E$9,(AB$5-2025)))</f>
        <v>473.721772549174</v>
      </c>
      <c r="AC12" s="18" t="n">
        <f aca="false">AB12*(1+INDEX(Assumptions!$C$9:$E$9,(AC$5-2025)))</f>
        <v>478.458990274666</v>
      </c>
      <c r="AD12" s="18" t="n">
        <f aca="false">AC12*(1+INDEX(Assumptions!$C$9:$E$9,(AD$5-2025)))</f>
        <v>483.243580177413</v>
      </c>
      <c r="AE12" s="18" t="n">
        <f aca="false">AD12*(1+INDEX(Assumptions!$C$9:$E$9,(AE$5-2025)))</f>
        <v>488.076015979187</v>
      </c>
      <c r="AF12" s="18" t="n">
        <f aca="false">AE12*(1+INDEX(Assumptions!$C$9:$E$9,(AF$5-2025)))</f>
        <v>492.956776138979</v>
      </c>
      <c r="AG12" s="18" t="n">
        <f aca="false">AF12*(1+INDEX(Assumptions!$C$9:$E$9,(AG$5-2025)))</f>
        <v>497.886343900369</v>
      </c>
      <c r="AH12" s="18" t="n">
        <f aca="false">AG12*(1+INDEX(Assumptions!$C$9:$E$9,(AH$5-2025)))</f>
        <v>502.865207339372</v>
      </c>
      <c r="AI12" s="18" t="n">
        <f aca="false">AH12*(1+INDEX(Assumptions!$C$9:$E$9,(AI$5-2025)))</f>
        <v>507.893859412766</v>
      </c>
      <c r="AJ12" s="18" t="n">
        <f aca="false">AI12*(1+INDEX(Assumptions!$C$9:$E$9,(AJ$5-2025)))</f>
        <v>512.972798006894</v>
      </c>
      <c r="AK12" s="18" t="n">
        <f aca="false">AJ12*(1+INDEX(Assumptions!$C$9:$E$9,(AK$5-2025)))</f>
        <v>518.102525986963</v>
      </c>
      <c r="AL12" s="18" t="n">
        <f aca="false">AK12*(1+INDEX(Assumptions!$C$9:$E$9,(AL$5-2025)))</f>
        <v>523.283551246832</v>
      </c>
    </row>
    <row r="13" customFormat="false" ht="15" hidden="false" customHeight="false" outlineLevel="0" collapsed="false">
      <c r="A13" s="7" t="s">
        <v>156</v>
      </c>
      <c r="B13" s="4" t="s">
        <v>56</v>
      </c>
      <c r="C13" s="20" t="n">
        <v>0</v>
      </c>
      <c r="D13" s="20" t="n">
        <v>0</v>
      </c>
      <c r="E13" s="20" t="n">
        <v>0</v>
      </c>
      <c r="F13" s="20" t="n">
        <v>1200</v>
      </c>
      <c r="G13" s="20" t="n">
        <v>2000</v>
      </c>
      <c r="H13" s="20" t="n">
        <v>3000</v>
      </c>
      <c r="I13" s="20" t="n">
        <v>3600</v>
      </c>
      <c r="J13" s="20" t="n">
        <v>4200</v>
      </c>
      <c r="K13" s="20" t="n">
        <v>4800</v>
      </c>
      <c r="L13" s="21" t="n">
        <f aca="false">L11*L12</f>
        <v>5583.28</v>
      </c>
      <c r="M13" s="21" t="n">
        <f aca="false">M11*M12</f>
        <v>6370.606108</v>
      </c>
      <c r="N13" s="21" t="n">
        <f aca="false">N11*N12</f>
        <v>7162.0382865438</v>
      </c>
      <c r="O13" s="21" t="n">
        <f aca="false">O11*O12</f>
        <v>8373.8786013681</v>
      </c>
      <c r="P13" s="21" t="n">
        <f aca="false">P11*P12</f>
        <v>9591.96518669105</v>
      </c>
      <c r="Q13" s="21" t="n">
        <f aca="false">Q11*Q12</f>
        <v>10816.3907467008</v>
      </c>
      <c r="R13" s="21" t="n">
        <f aca="false">R11*R12</f>
        <v>12047.2487568837</v>
      </c>
      <c r="S13" s="21" t="n">
        <f aca="false">S11*S12</f>
        <v>13284.6334725394</v>
      </c>
      <c r="T13" s="21" t="n">
        <f aca="false">T11*T12</f>
        <v>14528.6399373771</v>
      </c>
      <c r="U13" s="21" t="n">
        <f aca="false">U11*U12</f>
        <v>16663.061692522</v>
      </c>
      <c r="V13" s="21" t="n">
        <f aca="false">V11*V12</f>
        <v>18808.5836181362</v>
      </c>
      <c r="W13" s="21" t="n">
        <f aca="false">W11*W12</f>
        <v>20965.3694727667</v>
      </c>
      <c r="X13" s="21" t="n">
        <f aca="false">X11*X12</f>
        <v>23133.5843808485</v>
      </c>
      <c r="Y13" s="21" t="n">
        <f aca="false">Y11*Y12</f>
        <v>25313.3948477624</v>
      </c>
      <c r="Z13" s="21" t="n">
        <f aca="false">Z11*Z12</f>
        <v>27504.9687750364</v>
      </c>
      <c r="AA13" s="21" t="n">
        <f aca="false">AA11*AA12</f>
        <v>31115.5698496008</v>
      </c>
      <c r="AB13" s="21" t="n">
        <f aca="false">AB11*AB12</f>
        <v>34745.0988452688</v>
      </c>
      <c r="AC13" s="21" t="n">
        <f aca="false">AC11*AC12</f>
        <v>38393.833508413</v>
      </c>
      <c r="AD13" s="21" t="n">
        <f aca="false">AD11*AD12</f>
        <v>42062.0539072639</v>
      </c>
      <c r="AE13" s="21" t="n">
        <f aca="false">AE11*AE12</f>
        <v>45750.042457475</v>
      </c>
      <c r="AF13" s="21" t="n">
        <f aca="false">AF11*AF12</f>
        <v>49458.0839479309</v>
      </c>
      <c r="AG13" s="21" t="n">
        <f aca="false">AG11*AG12</f>
        <v>53186.465566802</v>
      </c>
      <c r="AH13" s="21" t="n">
        <f aca="false">AH11*AH12</f>
        <v>56935.4769278479</v>
      </c>
      <c r="AI13" s="21" t="n">
        <f aca="false">AI11*AI12</f>
        <v>60705.4100969716</v>
      </c>
      <c r="AJ13" s="21" t="n">
        <f aca="false">AJ11*AJ12</f>
        <v>64496.5596190274</v>
      </c>
      <c r="AK13" s="21" t="n">
        <f aca="false">AK11*AK12</f>
        <v>68309.2225448851</v>
      </c>
      <c r="AL13" s="21" t="n">
        <f aca="false">AL11*AL12</f>
        <v>72143.6984587536</v>
      </c>
    </row>
    <row r="14" customFormat="false" ht="15" hidden="false" customHeight="false" outlineLevel="0" collapsed="false">
      <c r="A14" s="4" t="s">
        <v>157</v>
      </c>
      <c r="B14" s="4" t="s">
        <v>56</v>
      </c>
      <c r="C14" s="18" t="n">
        <f aca="false">C13*12</f>
        <v>0</v>
      </c>
      <c r="D14" s="18" t="n">
        <f aca="false">D13*12</f>
        <v>0</v>
      </c>
      <c r="E14" s="18" t="n">
        <f aca="false">E13*12</f>
        <v>0</v>
      </c>
      <c r="F14" s="18" t="n">
        <f aca="false">F13*12</f>
        <v>14400</v>
      </c>
      <c r="G14" s="18" t="n">
        <f aca="false">G13*12</f>
        <v>24000</v>
      </c>
      <c r="H14" s="18" t="n">
        <f aca="false">H13*12</f>
        <v>36000</v>
      </c>
      <c r="I14" s="18" t="n">
        <f aca="false">I13*12</f>
        <v>43200</v>
      </c>
      <c r="J14" s="18" t="n">
        <f aca="false">J13*12</f>
        <v>50400</v>
      </c>
      <c r="K14" s="18" t="n">
        <f aca="false">K13*12</f>
        <v>57600</v>
      </c>
      <c r="L14" s="18" t="n">
        <f aca="false">L13*12</f>
        <v>66999.36</v>
      </c>
      <c r="M14" s="18" t="n">
        <f aca="false">M13*12</f>
        <v>76447.273296</v>
      </c>
      <c r="N14" s="18" t="n">
        <f aca="false">N13*12</f>
        <v>85944.4594385256</v>
      </c>
      <c r="O14" s="18" t="n">
        <f aca="false">O13*12</f>
        <v>100486.543216417</v>
      </c>
      <c r="P14" s="18" t="n">
        <f aca="false">P13*12</f>
        <v>115103.582240293</v>
      </c>
      <c r="Q14" s="18" t="n">
        <f aca="false">Q13*12</f>
        <v>129796.68896041</v>
      </c>
      <c r="R14" s="18" t="n">
        <f aca="false">R13*12</f>
        <v>144566.985082604</v>
      </c>
      <c r="S14" s="18" t="n">
        <f aca="false">S13*12</f>
        <v>159415.601670473</v>
      </c>
      <c r="T14" s="18" t="n">
        <f aca="false">T13*12</f>
        <v>174343.679248525</v>
      </c>
      <c r="U14" s="18" t="n">
        <f aca="false">U13*12</f>
        <v>199956.740310264</v>
      </c>
      <c r="V14" s="18" t="n">
        <f aca="false">V13*12</f>
        <v>225703.003417634</v>
      </c>
      <c r="W14" s="18" t="n">
        <f aca="false">W13*12</f>
        <v>251584.4336732</v>
      </c>
      <c r="X14" s="18" t="n">
        <f aca="false">X13*12</f>
        <v>277603.012570182</v>
      </c>
      <c r="Y14" s="18" t="n">
        <f aca="false">Y13*12</f>
        <v>303760.738173149</v>
      </c>
      <c r="Z14" s="18" t="n">
        <f aca="false">Z13*12</f>
        <v>330059.625300437</v>
      </c>
      <c r="AA14" s="18" t="n">
        <f aca="false">AA13*12</f>
        <v>373386.83819521</v>
      </c>
      <c r="AB14" s="18" t="n">
        <f aca="false">AB13*12</f>
        <v>416941.186143225</v>
      </c>
      <c r="AC14" s="18" t="n">
        <f aca="false">AC13*12</f>
        <v>460726.002100956</v>
      </c>
      <c r="AD14" s="18" t="n">
        <f aca="false">AD13*12</f>
        <v>504744.646887167</v>
      </c>
      <c r="AE14" s="18" t="n">
        <f aca="false">AE13*12</f>
        <v>549000.5094897</v>
      </c>
      <c r="AF14" s="18" t="n">
        <f aca="false">AF13*12</f>
        <v>593497.00737517</v>
      </c>
      <c r="AG14" s="18" t="n">
        <f aca="false">AG13*12</f>
        <v>638237.586801624</v>
      </c>
      <c r="AH14" s="18" t="n">
        <f aca="false">AH13*12</f>
        <v>683225.723134175</v>
      </c>
      <c r="AI14" s="18" t="n">
        <f aca="false">AI13*12</f>
        <v>728464.92116366</v>
      </c>
      <c r="AJ14" s="18" t="n">
        <f aca="false">AJ13*12</f>
        <v>773958.715428329</v>
      </c>
      <c r="AK14" s="18" t="n">
        <f aca="false">AK13*12</f>
        <v>819710.670538621</v>
      </c>
      <c r="AL14" s="18" t="n">
        <f aca="false">AL13*12</f>
        <v>865724.381505043</v>
      </c>
    </row>
    <row r="16" customFormat="false" ht="15" hidden="false" customHeight="false" outlineLevel="0" collapsed="false">
      <c r="A16" s="7" t="s">
        <v>158</v>
      </c>
      <c r="B16" s="4"/>
    </row>
    <row r="17" customFormat="false" ht="15" hidden="false" customHeight="false" outlineLevel="0" collapsed="false">
      <c r="A17" s="4" t="s">
        <v>71</v>
      </c>
      <c r="B17" s="4" t="s">
        <v>56</v>
      </c>
      <c r="C17" s="18" t="n">
        <f aca="false">C13*INDEX(Assumptions!$C$12:$E$12,(C$5-2025))</f>
        <v>0</v>
      </c>
      <c r="D17" s="18" t="n">
        <f aca="false">D13*INDEX(Assumptions!$C$12:$E$12,(D$5-2025))</f>
        <v>0</v>
      </c>
      <c r="E17" s="18" t="n">
        <f aca="false">E13*INDEX(Assumptions!$C$12:$E$12,(E$5-2025))</f>
        <v>0</v>
      </c>
      <c r="F17" s="18" t="n">
        <f aca="false">F13*INDEX(Assumptions!$C$12:$E$12,(F$5-2025))</f>
        <v>264</v>
      </c>
      <c r="G17" s="18" t="n">
        <f aca="false">G13*INDEX(Assumptions!$C$12:$E$12,(G$5-2025))</f>
        <v>440</v>
      </c>
      <c r="H17" s="18" t="n">
        <f aca="false">H13*INDEX(Assumptions!$C$12:$E$12,(H$5-2025))</f>
        <v>660</v>
      </c>
      <c r="I17" s="18" t="n">
        <f aca="false">I13*INDEX(Assumptions!$C$12:$E$12,(I$5-2025))</f>
        <v>792</v>
      </c>
      <c r="J17" s="18" t="n">
        <f aca="false">J13*INDEX(Assumptions!$C$12:$E$12,(J$5-2025))</f>
        <v>924</v>
      </c>
      <c r="K17" s="18" t="n">
        <f aca="false">K13*INDEX(Assumptions!$C$12:$E$12,(K$5-2025))</f>
        <v>1056</v>
      </c>
      <c r="L17" s="18" t="n">
        <f aca="false">L13*INDEX(Assumptions!$C$12:$E$12,(L$5-2025))</f>
        <v>1228.3216</v>
      </c>
      <c r="M17" s="18" t="n">
        <f aca="false">M13*INDEX(Assumptions!$C$12:$E$12,(M$5-2025))</f>
        <v>1401.53334376</v>
      </c>
      <c r="N17" s="18" t="n">
        <f aca="false">N13*INDEX(Assumptions!$C$12:$E$12,(N$5-2025))</f>
        <v>1575.64842303964</v>
      </c>
      <c r="O17" s="18" t="n">
        <f aca="false">O13*INDEX(Assumptions!$C$12:$E$12,(O$5-2025))</f>
        <v>1842.25329230098</v>
      </c>
      <c r="P17" s="18" t="n">
        <f aca="false">P13*INDEX(Assumptions!$C$12:$E$12,(P$5-2025))</f>
        <v>2110.23234107203</v>
      </c>
      <c r="Q17" s="18" t="n">
        <f aca="false">Q13*INDEX(Assumptions!$C$12:$E$12,(Q$5-2025))</f>
        <v>2379.60596427418</v>
      </c>
      <c r="R17" s="18" t="n">
        <f aca="false">R13*INDEX(Assumptions!$C$12:$E$12,(R$5-2025))</f>
        <v>2650.39472651441</v>
      </c>
      <c r="S17" s="18" t="n">
        <f aca="false">S13*INDEX(Assumptions!$C$12:$E$12,(S$5-2025))</f>
        <v>2922.61936395868</v>
      </c>
      <c r="T17" s="18" t="n">
        <f aca="false">T13*INDEX(Assumptions!$C$12:$E$12,(T$5-2025))</f>
        <v>3196.30078622296</v>
      </c>
      <c r="U17" s="18" t="n">
        <f aca="false">U13*INDEX(Assumptions!$C$12:$E$12,(U$5-2025))</f>
        <v>3665.87357235484</v>
      </c>
      <c r="V17" s="18" t="n">
        <f aca="false">V13*INDEX(Assumptions!$C$12:$E$12,(V$5-2025))</f>
        <v>4137.88839598996</v>
      </c>
      <c r="W17" s="18" t="n">
        <f aca="false">W13*INDEX(Assumptions!$C$12:$E$12,(W$5-2025))</f>
        <v>4612.38128400867</v>
      </c>
      <c r="X17" s="18" t="n">
        <f aca="false">X13*INDEX(Assumptions!$C$12:$E$12,(X$5-2025))</f>
        <v>5089.38856378668</v>
      </c>
      <c r="Y17" s="18" t="n">
        <f aca="false">Y13*INDEX(Assumptions!$C$12:$E$12,(Y$5-2025))</f>
        <v>5568.94686650773</v>
      </c>
      <c r="Z17" s="18" t="n">
        <f aca="false">Z13*INDEX(Assumptions!$C$12:$E$12,(Z$5-2025))</f>
        <v>6051.09313050801</v>
      </c>
      <c r="AA17" s="18" t="n">
        <f aca="false">AA13*INDEX(Assumptions!$C$12:$E$12,(AA$5-2025))</f>
        <v>6845.42536691218</v>
      </c>
      <c r="AB17" s="18" t="n">
        <f aca="false">AB13*INDEX(Assumptions!$C$12:$E$12,(AB$5-2025))</f>
        <v>7643.92174595913</v>
      </c>
      <c r="AC17" s="18" t="n">
        <f aca="false">AC13*INDEX(Assumptions!$C$12:$E$12,(AC$5-2025))</f>
        <v>8446.64337185085</v>
      </c>
      <c r="AD17" s="18" t="n">
        <f aca="false">AD13*INDEX(Assumptions!$C$12:$E$12,(AD$5-2025))</f>
        <v>9253.65185959807</v>
      </c>
      <c r="AE17" s="18" t="n">
        <f aca="false">AE13*INDEX(Assumptions!$C$12:$E$12,(AE$5-2025))</f>
        <v>10065.0093406445</v>
      </c>
      <c r="AF17" s="18" t="n">
        <f aca="false">AF13*INDEX(Assumptions!$C$12:$E$12,(AF$5-2025))</f>
        <v>10880.7784685448</v>
      </c>
      <c r="AG17" s="18" t="n">
        <f aca="false">AG13*INDEX(Assumptions!$C$12:$E$12,(AG$5-2025))</f>
        <v>11701.0224246964</v>
      </c>
      <c r="AH17" s="18" t="n">
        <f aca="false">AH13*INDEX(Assumptions!$C$12:$E$12,(AH$5-2025))</f>
        <v>12525.8049241265</v>
      </c>
      <c r="AI17" s="18" t="n">
        <f aca="false">AI13*INDEX(Assumptions!$C$12:$E$12,(AI$5-2025))</f>
        <v>13355.1902213338</v>
      </c>
      <c r="AJ17" s="18" t="n">
        <f aca="false">AJ13*INDEX(Assumptions!$C$12:$E$12,(AJ$5-2025))</f>
        <v>14189.243116186</v>
      </c>
      <c r="AK17" s="18" t="n">
        <f aca="false">AK13*INDEX(Assumptions!$C$12:$E$12,(AK$5-2025))</f>
        <v>15028.0289598747</v>
      </c>
      <c r="AL17" s="18" t="n">
        <f aca="false">AL13*INDEX(Assumptions!$C$12:$E$12,(AL$5-2025))</f>
        <v>15871.6136609258</v>
      </c>
    </row>
    <row r="18" customFormat="false" ht="15" hidden="false" customHeight="false" outlineLevel="0" collapsed="false">
      <c r="A18" s="4" t="s">
        <v>72</v>
      </c>
      <c r="B18" s="4" t="s">
        <v>56</v>
      </c>
      <c r="C18" s="18" t="n">
        <f aca="false">C13-C17</f>
        <v>0</v>
      </c>
      <c r="D18" s="18" t="n">
        <f aca="false">D13-D17</f>
        <v>0</v>
      </c>
      <c r="E18" s="18" t="n">
        <f aca="false">E13-E17</f>
        <v>0</v>
      </c>
      <c r="F18" s="18" t="n">
        <f aca="false">F13-F17</f>
        <v>936</v>
      </c>
      <c r="G18" s="18" t="n">
        <f aca="false">G13-G17</f>
        <v>1560</v>
      </c>
      <c r="H18" s="18" t="n">
        <f aca="false">H13-H17</f>
        <v>2340</v>
      </c>
      <c r="I18" s="18" t="n">
        <f aca="false">I13-I17</f>
        <v>2808</v>
      </c>
      <c r="J18" s="18" t="n">
        <f aca="false">J13-J17</f>
        <v>3276</v>
      </c>
      <c r="K18" s="18" t="n">
        <f aca="false">K13-K17</f>
        <v>3744</v>
      </c>
      <c r="L18" s="18" t="n">
        <f aca="false">L13-L17</f>
        <v>4354.9584</v>
      </c>
      <c r="M18" s="18" t="n">
        <f aca="false">M13-M17</f>
        <v>4969.07276424</v>
      </c>
      <c r="N18" s="18" t="n">
        <f aca="false">N13-N17</f>
        <v>5586.38986350416</v>
      </c>
      <c r="O18" s="18" t="n">
        <f aca="false">O13-O17</f>
        <v>6531.62530906712</v>
      </c>
      <c r="P18" s="18" t="n">
        <f aca="false">P13-P17</f>
        <v>7481.73284561902</v>
      </c>
      <c r="Q18" s="18" t="n">
        <f aca="false">Q13-Q17</f>
        <v>8436.78478242662</v>
      </c>
      <c r="R18" s="18" t="n">
        <f aca="false">R13-R17</f>
        <v>9396.85403036928</v>
      </c>
      <c r="S18" s="18" t="n">
        <f aca="false">S13-S17</f>
        <v>10362.0141085808</v>
      </c>
      <c r="T18" s="18" t="n">
        <f aca="false">T13-T17</f>
        <v>11332.3391511541</v>
      </c>
      <c r="U18" s="18" t="n">
        <f aca="false">U13-U17</f>
        <v>12997.1881201672</v>
      </c>
      <c r="V18" s="18" t="n">
        <f aca="false">V13-V17</f>
        <v>14670.6952221462</v>
      </c>
      <c r="W18" s="18" t="n">
        <f aca="false">W13-W17</f>
        <v>16352.988188758</v>
      </c>
      <c r="X18" s="18" t="n">
        <f aca="false">X13-X17</f>
        <v>18044.1958170619</v>
      </c>
      <c r="Y18" s="18" t="n">
        <f aca="false">Y13-Y17</f>
        <v>19744.4479812547</v>
      </c>
      <c r="Z18" s="18" t="n">
        <f aca="false">Z13-Z17</f>
        <v>21453.8756445284</v>
      </c>
      <c r="AA18" s="18" t="n">
        <f aca="false">AA13-AA17</f>
        <v>24270.1444826886</v>
      </c>
      <c r="AB18" s="18" t="n">
        <f aca="false">AB13-AB17</f>
        <v>27101.1770993096</v>
      </c>
      <c r="AC18" s="18" t="n">
        <f aca="false">AC13-AC17</f>
        <v>29947.1901365621</v>
      </c>
      <c r="AD18" s="18" t="n">
        <f aca="false">AD13-AD17</f>
        <v>32808.4020476659</v>
      </c>
      <c r="AE18" s="18" t="n">
        <f aca="false">AE13-AE17</f>
        <v>35685.0331168305</v>
      </c>
      <c r="AF18" s="18" t="n">
        <f aca="false">AF13-AF17</f>
        <v>38577.3054793861</v>
      </c>
      <c r="AG18" s="18" t="n">
        <f aca="false">AG13-AG17</f>
        <v>41485.4431421055</v>
      </c>
      <c r="AH18" s="18" t="n">
        <f aca="false">AH13-AH17</f>
        <v>44409.6720037214</v>
      </c>
      <c r="AI18" s="18" t="n">
        <f aca="false">AI13-AI17</f>
        <v>47350.2198756379</v>
      </c>
      <c r="AJ18" s="18" t="n">
        <f aca="false">AJ13-AJ17</f>
        <v>50307.3165028414</v>
      </c>
      <c r="AK18" s="18" t="n">
        <f aca="false">AK13-AK17</f>
        <v>53281.1935850104</v>
      </c>
      <c r="AL18" s="18" t="n">
        <f aca="false">AL13-AL17</f>
        <v>56272.0847978278</v>
      </c>
    </row>
    <row r="19" customFormat="false" ht="15" hidden="false" customHeight="false" outlineLevel="0" collapsed="false">
      <c r="A19" s="4" t="s">
        <v>73</v>
      </c>
      <c r="B19" s="4" t="s">
        <v>159</v>
      </c>
      <c r="C19" s="22" t="n">
        <f aca="false">IF(C13=0,0,C18/C13)</f>
        <v>0</v>
      </c>
      <c r="D19" s="22" t="n">
        <f aca="false">IF(D13=0,0,D18/D13)</f>
        <v>0</v>
      </c>
      <c r="E19" s="22" t="n">
        <f aca="false">IF(E13=0,0,E18/E13)</f>
        <v>0</v>
      </c>
      <c r="F19" s="22" t="n">
        <f aca="false">IF(F13=0,0,F18/F13)</f>
        <v>0.78</v>
      </c>
      <c r="G19" s="22" t="n">
        <f aca="false">IF(G13=0,0,G18/G13)</f>
        <v>0.78</v>
      </c>
      <c r="H19" s="22" t="n">
        <f aca="false">IF(H13=0,0,H18/H13)</f>
        <v>0.78</v>
      </c>
      <c r="I19" s="22" t="n">
        <f aca="false">IF(I13=0,0,I18/I13)</f>
        <v>0.78</v>
      </c>
      <c r="J19" s="22" t="n">
        <f aca="false">IF(J13=0,0,J18/J13)</f>
        <v>0.78</v>
      </c>
      <c r="K19" s="22" t="n">
        <f aca="false">IF(K13=0,0,K18/K13)</f>
        <v>0.78</v>
      </c>
      <c r="L19" s="22" t="n">
        <f aca="false">IF(L13=0,0,L18/L13)</f>
        <v>0.78</v>
      </c>
      <c r="M19" s="22" t="n">
        <f aca="false">IF(M13=0,0,M18/M13)</f>
        <v>0.78</v>
      </c>
      <c r="N19" s="22" t="n">
        <f aca="false">IF(N13=0,0,N18/N13)</f>
        <v>0.78</v>
      </c>
      <c r="O19" s="22" t="n">
        <f aca="false">IF(O13=0,0,O18/O13)</f>
        <v>0.78</v>
      </c>
      <c r="P19" s="22" t="n">
        <f aca="false">IF(P13=0,0,P18/P13)</f>
        <v>0.78</v>
      </c>
      <c r="Q19" s="22" t="n">
        <f aca="false">IF(Q13=0,0,Q18/Q13)</f>
        <v>0.78</v>
      </c>
      <c r="R19" s="22" t="n">
        <f aca="false">IF(R13=0,0,R18/R13)</f>
        <v>0.78</v>
      </c>
      <c r="S19" s="22" t="n">
        <f aca="false">IF(S13=0,0,S18/S13)</f>
        <v>0.78</v>
      </c>
      <c r="T19" s="22" t="n">
        <f aca="false">IF(T13=0,0,T18/T13)</f>
        <v>0.78</v>
      </c>
      <c r="U19" s="22" t="n">
        <f aca="false">IF(U13=0,0,U18/U13)</f>
        <v>0.78</v>
      </c>
      <c r="V19" s="22" t="n">
        <f aca="false">IF(V13=0,0,V18/V13)</f>
        <v>0.78</v>
      </c>
      <c r="W19" s="22" t="n">
        <f aca="false">IF(W13=0,0,W18/W13)</f>
        <v>0.78</v>
      </c>
      <c r="X19" s="22" t="n">
        <f aca="false">IF(X13=0,0,X18/X13)</f>
        <v>0.78</v>
      </c>
      <c r="Y19" s="22" t="n">
        <f aca="false">IF(Y13=0,0,Y18/Y13)</f>
        <v>0.78</v>
      </c>
      <c r="Z19" s="22" t="n">
        <f aca="false">IF(Z13=0,0,Z18/Z13)</f>
        <v>0.78</v>
      </c>
      <c r="AA19" s="22" t="n">
        <f aca="false">IF(AA13=0,0,AA18/AA13)</f>
        <v>0.78</v>
      </c>
      <c r="AB19" s="22" t="n">
        <f aca="false">IF(AB13=0,0,AB18/AB13)</f>
        <v>0.78</v>
      </c>
      <c r="AC19" s="22" t="n">
        <f aca="false">IF(AC13=0,0,AC18/AC13)</f>
        <v>0.78</v>
      </c>
      <c r="AD19" s="22" t="n">
        <f aca="false">IF(AD13=0,0,AD18/AD13)</f>
        <v>0.78</v>
      </c>
      <c r="AE19" s="22" t="n">
        <f aca="false">IF(AE13=0,0,AE18/AE13)</f>
        <v>0.78</v>
      </c>
      <c r="AF19" s="22" t="n">
        <f aca="false">IF(AF13=0,0,AF18/AF13)</f>
        <v>0.78</v>
      </c>
      <c r="AG19" s="22" t="n">
        <f aca="false">IF(AG13=0,0,AG18/AG13)</f>
        <v>0.78</v>
      </c>
      <c r="AH19" s="22" t="n">
        <f aca="false">IF(AH13=0,0,AH18/AH13)</f>
        <v>0.78</v>
      </c>
      <c r="AI19" s="22" t="n">
        <f aca="false">IF(AI13=0,0,AI18/AI13)</f>
        <v>0.78</v>
      </c>
      <c r="AJ19" s="22" t="n">
        <f aca="false">IF(AJ13=0,0,AJ18/AJ13)</f>
        <v>0.78</v>
      </c>
      <c r="AK19" s="22" t="n">
        <f aca="false">IF(AK13=0,0,AK18/AK13)</f>
        <v>0.78</v>
      </c>
      <c r="AL19" s="22" t="n">
        <f aca="false">IF(AL13=0,0,AL18/AL13)</f>
        <v>0.78</v>
      </c>
    </row>
    <row r="20" customFormat="false" ht="15" hidden="false" customHeight="false" outlineLevel="0" collapsed="false">
      <c r="A20" s="4" t="s">
        <v>160</v>
      </c>
      <c r="B20" s="4" t="s">
        <v>56</v>
      </c>
      <c r="C20" s="18" t="n">
        <f aca="false">C13*INDEX(Assumptions!$C$13:$E$13,(C$5-2025))</f>
        <v>0</v>
      </c>
      <c r="D20" s="18" t="n">
        <f aca="false">D13*INDEX(Assumptions!$C$13:$E$13,(D$5-2025))</f>
        <v>0</v>
      </c>
      <c r="E20" s="18" t="n">
        <f aca="false">E13*INDEX(Assumptions!$C$13:$E$13,(E$5-2025))</f>
        <v>0</v>
      </c>
      <c r="F20" s="18" t="n">
        <f aca="false">F13*INDEX(Assumptions!$C$13:$E$13,(F$5-2025))</f>
        <v>204</v>
      </c>
      <c r="G20" s="18" t="n">
        <f aca="false">G13*INDEX(Assumptions!$C$13:$E$13,(G$5-2025))</f>
        <v>340</v>
      </c>
      <c r="H20" s="18" t="n">
        <f aca="false">H13*INDEX(Assumptions!$C$13:$E$13,(H$5-2025))</f>
        <v>510</v>
      </c>
      <c r="I20" s="18" t="n">
        <f aca="false">I13*INDEX(Assumptions!$C$13:$E$13,(I$5-2025))</f>
        <v>612</v>
      </c>
      <c r="J20" s="18" t="n">
        <f aca="false">J13*INDEX(Assumptions!$C$13:$E$13,(J$5-2025))</f>
        <v>714</v>
      </c>
      <c r="K20" s="18" t="n">
        <f aca="false">K13*INDEX(Assumptions!$C$13:$E$13,(K$5-2025))</f>
        <v>816</v>
      </c>
      <c r="L20" s="18" t="n">
        <f aca="false">L13*INDEX(Assumptions!$C$13:$E$13,(L$5-2025))</f>
        <v>949.1576</v>
      </c>
      <c r="M20" s="18" t="n">
        <f aca="false">M13*INDEX(Assumptions!$C$13:$E$13,(M$5-2025))</f>
        <v>1083.00303836</v>
      </c>
      <c r="N20" s="18" t="n">
        <f aca="false">N13*INDEX(Assumptions!$C$13:$E$13,(N$5-2025))</f>
        <v>1217.54650871245</v>
      </c>
      <c r="O20" s="18" t="n">
        <f aca="false">O13*INDEX(Assumptions!$C$13:$E$13,(O$5-2025))</f>
        <v>1423.55936223258</v>
      </c>
      <c r="P20" s="18" t="n">
        <f aca="false">P13*INDEX(Assumptions!$C$13:$E$13,(P$5-2025))</f>
        <v>1630.63408173748</v>
      </c>
      <c r="Q20" s="18" t="n">
        <f aca="false">Q13*INDEX(Assumptions!$C$13:$E$13,(Q$5-2025))</f>
        <v>1838.78642693914</v>
      </c>
      <c r="R20" s="18" t="n">
        <f aca="false">R13*INDEX(Assumptions!$C$13:$E$13,(R$5-2025))</f>
        <v>2048.03228867023</v>
      </c>
      <c r="S20" s="18" t="n">
        <f aca="false">S13*INDEX(Assumptions!$C$13:$E$13,(S$5-2025))</f>
        <v>2258.38769033171</v>
      </c>
      <c r="T20" s="18" t="n">
        <f aca="false">T13*INDEX(Assumptions!$C$13:$E$13,(T$5-2025))</f>
        <v>2469.86878935411</v>
      </c>
      <c r="U20" s="18" t="n">
        <f aca="false">U13*INDEX(Assumptions!$C$13:$E$13,(U$5-2025))</f>
        <v>2832.72048772874</v>
      </c>
      <c r="V20" s="18" t="n">
        <f aca="false">V13*INDEX(Assumptions!$C$13:$E$13,(V$5-2025))</f>
        <v>3197.45921508315</v>
      </c>
      <c r="W20" s="18" t="n">
        <f aca="false">W13*INDEX(Assumptions!$C$13:$E$13,(W$5-2025))</f>
        <v>3564.11281037034</v>
      </c>
      <c r="X20" s="18" t="n">
        <f aca="false">X13*INDEX(Assumptions!$C$13:$E$13,(X$5-2025))</f>
        <v>3932.70934474425</v>
      </c>
      <c r="Y20" s="18" t="n">
        <f aca="false">Y13*INDEX(Assumptions!$C$13:$E$13,(Y$5-2025))</f>
        <v>4303.27712411961</v>
      </c>
      <c r="Z20" s="18" t="n">
        <f aca="false">Z13*INDEX(Assumptions!$C$13:$E$13,(Z$5-2025))</f>
        <v>4675.84469175619</v>
      </c>
      <c r="AA20" s="18" t="n">
        <f aca="false">AA13*INDEX(Assumptions!$C$13:$E$13,(AA$5-2025))</f>
        <v>5289.64687443214</v>
      </c>
      <c r="AB20" s="18" t="n">
        <f aca="false">AB13*INDEX(Assumptions!$C$13:$E$13,(AB$5-2025))</f>
        <v>5906.66680369569</v>
      </c>
      <c r="AC20" s="18" t="n">
        <f aca="false">AC13*INDEX(Assumptions!$C$13:$E$13,(AC$5-2025))</f>
        <v>6526.95169643021</v>
      </c>
      <c r="AD20" s="18" t="n">
        <f aca="false">AD13*INDEX(Assumptions!$C$13:$E$13,(AD$5-2025))</f>
        <v>7150.54916423487</v>
      </c>
      <c r="AE20" s="18" t="n">
        <f aca="false">AE13*INDEX(Assumptions!$C$13:$E$13,(AE$5-2025))</f>
        <v>7777.50721777076</v>
      </c>
      <c r="AF20" s="18" t="n">
        <f aca="false">AF13*INDEX(Assumptions!$C$13:$E$13,(AF$5-2025))</f>
        <v>8407.87427114825</v>
      </c>
      <c r="AG20" s="18" t="n">
        <f aca="false">AG13*INDEX(Assumptions!$C$13:$E$13,(AG$5-2025))</f>
        <v>9041.69914635634</v>
      </c>
      <c r="AH20" s="18" t="n">
        <f aca="false">AH13*INDEX(Assumptions!$C$13:$E$13,(AH$5-2025))</f>
        <v>9679.03107773415</v>
      </c>
      <c r="AI20" s="18" t="n">
        <f aca="false">AI13*INDEX(Assumptions!$C$13:$E$13,(AI$5-2025))</f>
        <v>10319.9197164852</v>
      </c>
      <c r="AJ20" s="18" t="n">
        <f aca="false">AJ13*INDEX(Assumptions!$C$13:$E$13,(AJ$5-2025))</f>
        <v>10964.4151352347</v>
      </c>
      <c r="AK20" s="18" t="n">
        <f aca="false">AK13*INDEX(Assumptions!$C$13:$E$13,(AK$5-2025))</f>
        <v>11612.5678326305</v>
      </c>
      <c r="AL20" s="18" t="n">
        <f aca="false">AL13*INDEX(Assumptions!$C$13:$E$13,(AL$5-2025))</f>
        <v>12264.4287379881</v>
      </c>
    </row>
    <row r="21" customFormat="false" ht="15" hidden="false" customHeight="false" outlineLevel="0" collapsed="false">
      <c r="A21" s="4" t="s">
        <v>74</v>
      </c>
      <c r="B21" s="4" t="s">
        <v>56</v>
      </c>
      <c r="C21" s="18" t="n">
        <f aca="false">C18-C20</f>
        <v>0</v>
      </c>
      <c r="D21" s="18" t="n">
        <f aca="false">D18-D20</f>
        <v>0</v>
      </c>
      <c r="E21" s="18" t="n">
        <f aca="false">E18-E20</f>
        <v>0</v>
      </c>
      <c r="F21" s="18" t="n">
        <f aca="false">F18-F20</f>
        <v>732</v>
      </c>
      <c r="G21" s="18" t="n">
        <f aca="false">G18-G20</f>
        <v>1220</v>
      </c>
      <c r="H21" s="18" t="n">
        <f aca="false">H18-H20</f>
        <v>1830</v>
      </c>
      <c r="I21" s="18" t="n">
        <f aca="false">I18-I20</f>
        <v>2196</v>
      </c>
      <c r="J21" s="18" t="n">
        <f aca="false">J18-J20</f>
        <v>2562</v>
      </c>
      <c r="K21" s="18" t="n">
        <f aca="false">K18-K20</f>
        <v>2928</v>
      </c>
      <c r="L21" s="18" t="n">
        <f aca="false">L18-L20</f>
        <v>3405.8008</v>
      </c>
      <c r="M21" s="18" t="n">
        <f aca="false">M18-M20</f>
        <v>3886.06972588</v>
      </c>
      <c r="N21" s="18" t="n">
        <f aca="false">N18-N20</f>
        <v>4368.84335479172</v>
      </c>
      <c r="O21" s="18" t="n">
        <f aca="false">O18-O20</f>
        <v>5108.06594683454</v>
      </c>
      <c r="P21" s="18" t="n">
        <f aca="false">P18-P20</f>
        <v>5851.09876388154</v>
      </c>
      <c r="Q21" s="18" t="n">
        <f aca="false">Q18-Q20</f>
        <v>6597.99835548749</v>
      </c>
      <c r="R21" s="18" t="n">
        <f aca="false">R18-R20</f>
        <v>7348.82174169906</v>
      </c>
      <c r="S21" s="18" t="n">
        <f aca="false">S18-S20</f>
        <v>8103.62641824906</v>
      </c>
      <c r="T21" s="18" t="n">
        <f aca="false">T18-T20</f>
        <v>8862.47036180003</v>
      </c>
      <c r="U21" s="18" t="n">
        <f aca="false">U18-U20</f>
        <v>10164.4676324384</v>
      </c>
      <c r="V21" s="18" t="n">
        <f aca="false">V18-V20</f>
        <v>11473.2360070631</v>
      </c>
      <c r="W21" s="18" t="n">
        <f aca="false">W18-W20</f>
        <v>12788.8753783877</v>
      </c>
      <c r="X21" s="18" t="n">
        <f aca="false">X18-X20</f>
        <v>14111.4864723176</v>
      </c>
      <c r="Y21" s="18" t="n">
        <f aca="false">Y18-Y20</f>
        <v>15441.1708571351</v>
      </c>
      <c r="Z21" s="18" t="n">
        <f aca="false">Z18-Z20</f>
        <v>16778.0309527722</v>
      </c>
      <c r="AA21" s="18" t="n">
        <f aca="false">AA18-AA20</f>
        <v>18980.4976082565</v>
      </c>
      <c r="AB21" s="18" t="n">
        <f aca="false">AB18-AB20</f>
        <v>21194.510295614</v>
      </c>
      <c r="AC21" s="18" t="n">
        <f aca="false">AC18-AC20</f>
        <v>23420.2384401319</v>
      </c>
      <c r="AD21" s="18" t="n">
        <f aca="false">AD18-AD20</f>
        <v>25657.852883431</v>
      </c>
      <c r="AE21" s="18" t="n">
        <f aca="false">AE18-AE20</f>
        <v>27907.5258990598</v>
      </c>
      <c r="AF21" s="18" t="n">
        <f aca="false">AF18-AF20</f>
        <v>30169.4312082378</v>
      </c>
      <c r="AG21" s="18" t="n">
        <f aca="false">AG18-AG20</f>
        <v>32443.7439957492</v>
      </c>
      <c r="AH21" s="18" t="n">
        <f aca="false">AH18-AH20</f>
        <v>34730.6409259872</v>
      </c>
      <c r="AI21" s="18" t="n">
        <f aca="false">AI18-AI20</f>
        <v>37030.3001591527</v>
      </c>
      <c r="AJ21" s="18" t="n">
        <f aca="false">AJ18-AJ20</f>
        <v>39342.9013676067</v>
      </c>
      <c r="AK21" s="18" t="n">
        <f aca="false">AK18-AK20</f>
        <v>41668.6257523799</v>
      </c>
      <c r="AL21" s="18" t="n">
        <f aca="false">AL18-AL20</f>
        <v>44007.6560598397</v>
      </c>
    </row>
    <row r="22" customFormat="false" ht="15" hidden="false" customHeight="false" outlineLevel="0" collapsed="false">
      <c r="A22" s="4" t="s">
        <v>75</v>
      </c>
      <c r="B22" s="4" t="s">
        <v>159</v>
      </c>
      <c r="C22" s="22" t="n">
        <f aca="false">IF(C13=0,0,C21/C13)</f>
        <v>0</v>
      </c>
      <c r="D22" s="22" t="n">
        <f aca="false">IF(D13=0,0,D21/D13)</f>
        <v>0</v>
      </c>
      <c r="E22" s="22" t="n">
        <f aca="false">IF(E13=0,0,E21/E13)</f>
        <v>0</v>
      </c>
      <c r="F22" s="22" t="n">
        <f aca="false">IF(F13=0,0,F21/F13)</f>
        <v>0.61</v>
      </c>
      <c r="G22" s="22" t="n">
        <f aca="false">IF(G13=0,0,G21/G13)</f>
        <v>0.61</v>
      </c>
      <c r="H22" s="22" t="n">
        <f aca="false">IF(H13=0,0,H21/H13)</f>
        <v>0.61</v>
      </c>
      <c r="I22" s="22" t="n">
        <f aca="false">IF(I13=0,0,I21/I13)</f>
        <v>0.61</v>
      </c>
      <c r="J22" s="22" t="n">
        <f aca="false">IF(J13=0,0,J21/J13)</f>
        <v>0.61</v>
      </c>
      <c r="K22" s="22" t="n">
        <f aca="false">IF(K13=0,0,K21/K13)</f>
        <v>0.61</v>
      </c>
      <c r="L22" s="22" t="n">
        <f aca="false">IF(L13=0,0,L21/L13)</f>
        <v>0.61</v>
      </c>
      <c r="M22" s="22" t="n">
        <f aca="false">IF(M13=0,0,M21/M13)</f>
        <v>0.61</v>
      </c>
      <c r="N22" s="22" t="n">
        <f aca="false">IF(N13=0,0,N21/N13)</f>
        <v>0.61</v>
      </c>
      <c r="O22" s="22" t="n">
        <f aca="false">IF(O13=0,0,O21/O13)</f>
        <v>0.61</v>
      </c>
      <c r="P22" s="22" t="n">
        <f aca="false">IF(P13=0,0,P21/P13)</f>
        <v>0.61</v>
      </c>
      <c r="Q22" s="22" t="n">
        <f aca="false">IF(Q13=0,0,Q21/Q13)</f>
        <v>0.61</v>
      </c>
      <c r="R22" s="22" t="n">
        <f aca="false">IF(R13=0,0,R21/R13)</f>
        <v>0.61</v>
      </c>
      <c r="S22" s="22" t="n">
        <f aca="false">IF(S13=0,0,S21/S13)</f>
        <v>0.61</v>
      </c>
      <c r="T22" s="22" t="n">
        <f aca="false">IF(T13=0,0,T21/T13)</f>
        <v>0.61</v>
      </c>
      <c r="U22" s="22" t="n">
        <f aca="false">IF(U13=0,0,U21/U13)</f>
        <v>0.61</v>
      </c>
      <c r="V22" s="22" t="n">
        <f aca="false">IF(V13=0,0,V21/V13)</f>
        <v>0.61</v>
      </c>
      <c r="W22" s="22" t="n">
        <f aca="false">IF(W13=0,0,W21/W13)</f>
        <v>0.61</v>
      </c>
      <c r="X22" s="22" t="n">
        <f aca="false">IF(X13=0,0,X21/X13)</f>
        <v>0.61</v>
      </c>
      <c r="Y22" s="22" t="n">
        <f aca="false">IF(Y13=0,0,Y21/Y13)</f>
        <v>0.61</v>
      </c>
      <c r="Z22" s="22" t="n">
        <f aca="false">IF(Z13=0,0,Z21/Z13)</f>
        <v>0.61</v>
      </c>
      <c r="AA22" s="22" t="n">
        <f aca="false">IF(AA13=0,0,AA21/AA13)</f>
        <v>0.61</v>
      </c>
      <c r="AB22" s="22" t="n">
        <f aca="false">IF(AB13=0,0,AB21/AB13)</f>
        <v>0.61</v>
      </c>
      <c r="AC22" s="22" t="n">
        <f aca="false">IF(AC13=0,0,AC21/AC13)</f>
        <v>0.61</v>
      </c>
      <c r="AD22" s="22" t="n">
        <f aca="false">IF(AD13=0,0,AD21/AD13)</f>
        <v>0.61</v>
      </c>
      <c r="AE22" s="22" t="n">
        <f aca="false">IF(AE13=0,0,AE21/AE13)</f>
        <v>0.61</v>
      </c>
      <c r="AF22" s="22" t="n">
        <f aca="false">IF(AF13=0,0,AF21/AF13)</f>
        <v>0.61</v>
      </c>
      <c r="AG22" s="22" t="n">
        <f aca="false">IF(AG13=0,0,AG21/AG13)</f>
        <v>0.61</v>
      </c>
      <c r="AH22" s="22" t="n">
        <f aca="false">IF(AH13=0,0,AH21/AH13)</f>
        <v>0.61</v>
      </c>
      <c r="AI22" s="22" t="n">
        <f aca="false">IF(AI13=0,0,AI21/AI13)</f>
        <v>0.61</v>
      </c>
      <c r="AJ22" s="22" t="n">
        <f aca="false">IF(AJ13=0,0,AJ21/AJ13)</f>
        <v>0.61</v>
      </c>
      <c r="AK22" s="22" t="n">
        <f aca="false">IF(AK13=0,0,AK21/AK13)</f>
        <v>0.61</v>
      </c>
      <c r="AL22" s="22" t="n">
        <f aca="false">IF(AL13=0,0,AL21/AL13)</f>
        <v>0.61</v>
      </c>
    </row>
    <row r="24" customFormat="false" ht="15" hidden="false" customHeight="false" outlineLevel="0" collapsed="false">
      <c r="A24" s="7" t="s">
        <v>161</v>
      </c>
      <c r="B24" s="4"/>
    </row>
    <row r="25" customFormat="false" ht="15" hidden="false" customHeight="false" outlineLevel="0" collapsed="false">
      <c r="A25" s="4" t="s">
        <v>34</v>
      </c>
      <c r="B25" s="4" t="s">
        <v>162</v>
      </c>
      <c r="C25" s="10" t="n">
        <v>2</v>
      </c>
      <c r="D25" s="10" t="n">
        <v>2</v>
      </c>
      <c r="E25" s="10" t="n">
        <v>2</v>
      </c>
      <c r="F25" s="10" t="n">
        <v>2</v>
      </c>
      <c r="G25" s="10" t="n">
        <v>2</v>
      </c>
      <c r="H25" s="10" t="n">
        <v>2</v>
      </c>
      <c r="I25" s="10" t="n">
        <v>2</v>
      </c>
      <c r="J25" s="10" t="n">
        <v>2</v>
      </c>
      <c r="K25" s="10" t="n">
        <v>2</v>
      </c>
      <c r="L25" s="10" t="n">
        <v>2</v>
      </c>
      <c r="M25" s="10" t="n">
        <v>2</v>
      </c>
      <c r="N25" s="10" t="n">
        <v>2</v>
      </c>
      <c r="O25" s="10" t="n">
        <v>2</v>
      </c>
      <c r="P25" s="10" t="n">
        <v>2</v>
      </c>
      <c r="Q25" s="10" t="n">
        <v>2</v>
      </c>
      <c r="R25" s="10" t="n">
        <v>2</v>
      </c>
      <c r="S25" s="10" t="n">
        <v>2</v>
      </c>
      <c r="T25" s="10" t="n">
        <v>2</v>
      </c>
      <c r="U25" s="10" t="n">
        <v>2</v>
      </c>
      <c r="V25" s="10" t="n">
        <v>2</v>
      </c>
      <c r="W25" s="10" t="n">
        <v>2</v>
      </c>
      <c r="X25" s="10" t="n">
        <v>2</v>
      </c>
      <c r="Y25" s="10" t="n">
        <v>2</v>
      </c>
      <c r="Z25" s="10" t="n">
        <v>2</v>
      </c>
      <c r="AA25" s="10" t="n">
        <v>2</v>
      </c>
      <c r="AB25" s="10" t="n">
        <v>2</v>
      </c>
      <c r="AC25" s="10" t="n">
        <v>2</v>
      </c>
      <c r="AD25" s="10" t="n">
        <v>2</v>
      </c>
      <c r="AE25" s="10" t="n">
        <v>2</v>
      </c>
      <c r="AF25" s="10" t="n">
        <v>2</v>
      </c>
      <c r="AG25" s="10" t="n">
        <v>2</v>
      </c>
      <c r="AH25" s="10" t="n">
        <v>2</v>
      </c>
      <c r="AI25" s="10" t="n">
        <v>2</v>
      </c>
      <c r="AJ25" s="10" t="n">
        <v>2</v>
      </c>
      <c r="AK25" s="10" t="n">
        <v>2</v>
      </c>
      <c r="AL25" s="10" t="n">
        <v>2</v>
      </c>
    </row>
    <row r="26" customFormat="false" ht="15" hidden="false" customHeight="false" outlineLevel="0" collapsed="false">
      <c r="A26" s="4" t="s">
        <v>37</v>
      </c>
      <c r="B26" s="4" t="s">
        <v>162</v>
      </c>
      <c r="C26" s="10" t="n">
        <v>2</v>
      </c>
      <c r="D26" s="10" t="n">
        <v>2</v>
      </c>
      <c r="E26" s="10" t="n">
        <v>2</v>
      </c>
      <c r="F26" s="10" t="n">
        <v>2</v>
      </c>
      <c r="G26" s="10" t="n">
        <v>2</v>
      </c>
      <c r="H26" s="10" t="n">
        <v>2</v>
      </c>
      <c r="I26" s="10" t="n">
        <v>2</v>
      </c>
      <c r="J26" s="10" t="n">
        <v>2</v>
      </c>
      <c r="K26" s="10" t="n">
        <v>2</v>
      </c>
      <c r="L26" s="10" t="n">
        <v>2</v>
      </c>
      <c r="M26" s="10" t="n">
        <v>2</v>
      </c>
      <c r="N26" s="10" t="n">
        <v>2</v>
      </c>
      <c r="O26" s="10" t="n">
        <v>2</v>
      </c>
      <c r="P26" s="10" t="n">
        <v>2</v>
      </c>
      <c r="Q26" s="10" t="n">
        <v>2</v>
      </c>
      <c r="R26" s="10" t="n">
        <v>4</v>
      </c>
      <c r="S26" s="10" t="n">
        <v>4</v>
      </c>
      <c r="T26" s="10" t="n">
        <v>6</v>
      </c>
      <c r="U26" s="10" t="n">
        <v>6</v>
      </c>
      <c r="V26" s="10" t="n">
        <v>6</v>
      </c>
      <c r="W26" s="10" t="n">
        <v>6</v>
      </c>
      <c r="X26" s="10" t="n">
        <v>6</v>
      </c>
      <c r="Y26" s="10" t="n">
        <v>6</v>
      </c>
      <c r="Z26" s="10" t="n">
        <v>6</v>
      </c>
      <c r="AA26" s="10" t="n">
        <v>7</v>
      </c>
      <c r="AB26" s="10" t="n">
        <v>7</v>
      </c>
      <c r="AC26" s="10" t="n">
        <v>7</v>
      </c>
      <c r="AD26" s="10" t="n">
        <v>7</v>
      </c>
      <c r="AE26" s="10" t="n">
        <v>7</v>
      </c>
      <c r="AF26" s="10" t="n">
        <v>7</v>
      </c>
      <c r="AG26" s="10" t="n">
        <v>8</v>
      </c>
      <c r="AH26" s="10" t="n">
        <v>8</v>
      </c>
      <c r="AI26" s="10" t="n">
        <v>8</v>
      </c>
      <c r="AJ26" s="10" t="n">
        <v>8</v>
      </c>
      <c r="AK26" s="10" t="n">
        <v>8</v>
      </c>
      <c r="AL26" s="10" t="n">
        <v>8</v>
      </c>
    </row>
    <row r="27" customFormat="false" ht="15" hidden="false" customHeight="false" outlineLevel="0" collapsed="false">
      <c r="A27" s="4" t="s">
        <v>39</v>
      </c>
      <c r="B27" s="4" t="s">
        <v>162</v>
      </c>
      <c r="C27" s="10" t="n">
        <v>1</v>
      </c>
      <c r="D27" s="10" t="n">
        <v>1</v>
      </c>
      <c r="E27" s="10" t="n">
        <v>1</v>
      </c>
      <c r="F27" s="10" t="n">
        <v>2</v>
      </c>
      <c r="G27" s="10" t="n">
        <v>2</v>
      </c>
      <c r="H27" s="10" t="n">
        <v>2</v>
      </c>
      <c r="I27" s="10" t="n">
        <v>2</v>
      </c>
      <c r="J27" s="10" t="n">
        <v>2</v>
      </c>
      <c r="K27" s="10" t="n">
        <v>2</v>
      </c>
      <c r="L27" s="10" t="n">
        <v>2</v>
      </c>
      <c r="M27" s="10" t="n">
        <v>2</v>
      </c>
      <c r="N27" s="10" t="n">
        <v>2</v>
      </c>
      <c r="O27" s="10" t="n">
        <v>2</v>
      </c>
      <c r="P27" s="10" t="n">
        <v>2</v>
      </c>
      <c r="Q27" s="10" t="n">
        <v>2</v>
      </c>
      <c r="R27" s="10" t="n">
        <v>2</v>
      </c>
      <c r="S27" s="10" t="n">
        <v>2</v>
      </c>
      <c r="T27" s="10" t="n">
        <v>2</v>
      </c>
      <c r="U27" s="10" t="n">
        <v>3</v>
      </c>
      <c r="V27" s="10" t="n">
        <v>3</v>
      </c>
      <c r="W27" s="10" t="n">
        <v>3</v>
      </c>
      <c r="X27" s="10" t="n">
        <v>4</v>
      </c>
      <c r="Y27" s="10" t="n">
        <v>4</v>
      </c>
      <c r="Z27" s="10" t="n">
        <v>4</v>
      </c>
      <c r="AA27" s="10" t="n">
        <v>4</v>
      </c>
      <c r="AB27" s="10" t="n">
        <v>4</v>
      </c>
      <c r="AC27" s="10" t="n">
        <v>4</v>
      </c>
      <c r="AD27" s="10" t="n">
        <v>5</v>
      </c>
      <c r="AE27" s="10" t="n">
        <v>5</v>
      </c>
      <c r="AF27" s="10" t="n">
        <v>5</v>
      </c>
      <c r="AG27" s="10" t="n">
        <v>5</v>
      </c>
      <c r="AH27" s="10" t="n">
        <v>5</v>
      </c>
      <c r="AI27" s="10" t="n">
        <v>5</v>
      </c>
      <c r="AJ27" s="10" t="n">
        <v>6</v>
      </c>
      <c r="AK27" s="10" t="n">
        <v>6</v>
      </c>
      <c r="AL27" s="10" t="n">
        <v>6</v>
      </c>
    </row>
    <row r="28" customFormat="false" ht="15" hidden="false" customHeight="false" outlineLevel="0" collapsed="false">
      <c r="A28" s="4" t="s">
        <v>163</v>
      </c>
      <c r="B28" s="4" t="s">
        <v>162</v>
      </c>
      <c r="C28" s="18" t="n">
        <f aca="false">SUM(C25:C27)</f>
        <v>5</v>
      </c>
      <c r="D28" s="18" t="n">
        <f aca="false">SUM(D25:D27)</f>
        <v>5</v>
      </c>
      <c r="E28" s="18" t="n">
        <f aca="false">SUM(E25:E27)</f>
        <v>5</v>
      </c>
      <c r="F28" s="18" t="n">
        <f aca="false">SUM(F25:F27)</f>
        <v>6</v>
      </c>
      <c r="G28" s="18" t="n">
        <f aca="false">SUM(G25:G27)</f>
        <v>6</v>
      </c>
      <c r="H28" s="18" t="n">
        <f aca="false">SUM(H25:H27)</f>
        <v>6</v>
      </c>
      <c r="I28" s="18" t="n">
        <f aca="false">SUM(I25:I27)</f>
        <v>6</v>
      </c>
      <c r="J28" s="18" t="n">
        <f aca="false">SUM(J25:J27)</f>
        <v>6</v>
      </c>
      <c r="K28" s="18" t="n">
        <f aca="false">SUM(K25:K27)</f>
        <v>6</v>
      </c>
      <c r="L28" s="18" t="n">
        <f aca="false">SUM(L25:L27)</f>
        <v>6</v>
      </c>
      <c r="M28" s="18" t="n">
        <f aca="false">SUM(M25:M27)</f>
        <v>6</v>
      </c>
      <c r="N28" s="18" t="n">
        <f aca="false">SUM(N25:N27)</f>
        <v>6</v>
      </c>
      <c r="O28" s="18" t="n">
        <f aca="false">SUM(O25:O27)</f>
        <v>6</v>
      </c>
      <c r="P28" s="18" t="n">
        <f aca="false">SUM(P25:P27)</f>
        <v>6</v>
      </c>
      <c r="Q28" s="18" t="n">
        <f aca="false">SUM(Q25:Q27)</f>
        <v>6</v>
      </c>
      <c r="R28" s="18" t="n">
        <f aca="false">SUM(R25:R27)</f>
        <v>8</v>
      </c>
      <c r="S28" s="18" t="n">
        <f aca="false">SUM(S25:S27)</f>
        <v>8</v>
      </c>
      <c r="T28" s="18" t="n">
        <f aca="false">SUM(T25:T27)</f>
        <v>10</v>
      </c>
      <c r="U28" s="18" t="n">
        <f aca="false">SUM(U25:U27)</f>
        <v>11</v>
      </c>
      <c r="V28" s="18" t="n">
        <f aca="false">SUM(V25:V27)</f>
        <v>11</v>
      </c>
      <c r="W28" s="18" t="n">
        <f aca="false">SUM(W25:W27)</f>
        <v>11</v>
      </c>
      <c r="X28" s="18" t="n">
        <f aca="false">SUM(X25:X27)</f>
        <v>12</v>
      </c>
      <c r="Y28" s="18" t="n">
        <f aca="false">SUM(Y25:Y27)</f>
        <v>12</v>
      </c>
      <c r="Z28" s="18" t="n">
        <f aca="false">SUM(Z25:Z27)</f>
        <v>12</v>
      </c>
      <c r="AA28" s="18" t="n">
        <f aca="false">SUM(AA25:AA27)</f>
        <v>13</v>
      </c>
      <c r="AB28" s="18" t="n">
        <f aca="false">SUM(AB25:AB27)</f>
        <v>13</v>
      </c>
      <c r="AC28" s="18" t="n">
        <f aca="false">SUM(AC25:AC27)</f>
        <v>13</v>
      </c>
      <c r="AD28" s="18" t="n">
        <f aca="false">SUM(AD25:AD27)</f>
        <v>14</v>
      </c>
      <c r="AE28" s="18" t="n">
        <f aca="false">SUM(AE25:AE27)</f>
        <v>14</v>
      </c>
      <c r="AF28" s="18" t="n">
        <f aca="false">SUM(AF25:AF27)</f>
        <v>14</v>
      </c>
      <c r="AG28" s="18" t="n">
        <f aca="false">SUM(AG25:AG27)</f>
        <v>15</v>
      </c>
      <c r="AH28" s="18" t="n">
        <f aca="false">SUM(AH25:AH27)</f>
        <v>15</v>
      </c>
      <c r="AI28" s="18" t="n">
        <f aca="false">SUM(AI25:AI27)</f>
        <v>15</v>
      </c>
      <c r="AJ28" s="18" t="n">
        <f aca="false">SUM(AJ25:AJ27)</f>
        <v>16</v>
      </c>
      <c r="AK28" s="18" t="n">
        <f aca="false">SUM(AK25:AK27)</f>
        <v>16</v>
      </c>
      <c r="AL28" s="18" t="n">
        <f aca="false">SUM(AL25:AL27)</f>
        <v>16</v>
      </c>
    </row>
    <row r="30" customFormat="false" ht="15" hidden="false" customHeight="false" outlineLevel="0" collapsed="false">
      <c r="A30" s="7" t="s">
        <v>164</v>
      </c>
      <c r="B30" s="4"/>
    </row>
    <row r="31" customFormat="false" ht="15" hidden="false" customHeight="false" outlineLevel="0" collapsed="false">
      <c r="A31" s="4" t="s">
        <v>76</v>
      </c>
      <c r="B31" s="4" t="s">
        <v>56</v>
      </c>
      <c r="C31" s="18" t="n">
        <f aca="false">(C25*INDEX(Assumptions!$C$16:$E$16,(C$5-2025))+C26*INDEX(Assumptions!$C$17:$E$17,(C$5-2025))+C27*INDEX(Assumptions!$C$18:$E$18,(C$5-2025)))*(1+INDEX(Assumptions!$C$19:$E$19,(C$5-2025)))</f>
        <v>8690</v>
      </c>
      <c r="D31" s="18" t="n">
        <f aca="false">(D25*INDEX(Assumptions!$C$16:$E$16,(D$5-2025))+D26*INDEX(Assumptions!$C$17:$E$17,(D$5-2025))+D27*INDEX(Assumptions!$C$18:$E$18,(D$5-2025)))*(1+INDEX(Assumptions!$C$19:$E$19,(D$5-2025)))</f>
        <v>8690</v>
      </c>
      <c r="E31" s="18" t="n">
        <f aca="false">(E25*INDEX(Assumptions!$C$16:$E$16,(E$5-2025))+E26*INDEX(Assumptions!$C$17:$E$17,(E$5-2025))+E27*INDEX(Assumptions!$C$18:$E$18,(E$5-2025)))*(1+INDEX(Assumptions!$C$19:$E$19,(E$5-2025)))</f>
        <v>8690</v>
      </c>
      <c r="F31" s="18" t="n">
        <f aca="false">(F25*INDEX(Assumptions!$C$16:$E$16,(F$5-2025))+F26*INDEX(Assumptions!$C$17:$E$17,(F$5-2025))+F27*INDEX(Assumptions!$C$18:$E$18,(F$5-2025)))*(1+INDEX(Assumptions!$C$19:$E$19,(F$5-2025)))</f>
        <v>10340</v>
      </c>
      <c r="G31" s="18" t="n">
        <f aca="false">(G25*INDEX(Assumptions!$C$16:$E$16,(G$5-2025))+G26*INDEX(Assumptions!$C$17:$E$17,(G$5-2025))+G27*INDEX(Assumptions!$C$18:$E$18,(G$5-2025)))*(1+INDEX(Assumptions!$C$19:$E$19,(G$5-2025)))</f>
        <v>10340</v>
      </c>
      <c r="H31" s="18" t="n">
        <f aca="false">(H25*INDEX(Assumptions!$C$16:$E$16,(H$5-2025))+H26*INDEX(Assumptions!$C$17:$E$17,(H$5-2025))+H27*INDEX(Assumptions!$C$18:$E$18,(H$5-2025)))*(1+INDEX(Assumptions!$C$19:$E$19,(H$5-2025)))</f>
        <v>10340</v>
      </c>
      <c r="I31" s="18" t="n">
        <f aca="false">(I25*INDEX(Assumptions!$C$16:$E$16,(I$5-2025))+I26*INDEX(Assumptions!$C$17:$E$17,(I$5-2025))+I27*INDEX(Assumptions!$C$18:$E$18,(I$5-2025)))*(1+INDEX(Assumptions!$C$19:$E$19,(I$5-2025)))</f>
        <v>10340</v>
      </c>
      <c r="J31" s="18" t="n">
        <f aca="false">(J25*INDEX(Assumptions!$C$16:$E$16,(J$5-2025))+J26*INDEX(Assumptions!$C$17:$E$17,(J$5-2025))+J27*INDEX(Assumptions!$C$18:$E$18,(J$5-2025)))*(1+INDEX(Assumptions!$C$19:$E$19,(J$5-2025)))</f>
        <v>10340</v>
      </c>
      <c r="K31" s="18" t="n">
        <f aca="false">(K25*INDEX(Assumptions!$C$16:$E$16,(K$5-2025))+K26*INDEX(Assumptions!$C$17:$E$17,(K$5-2025))+K27*INDEX(Assumptions!$C$18:$E$18,(K$5-2025)))*(1+INDEX(Assumptions!$C$19:$E$19,(K$5-2025)))</f>
        <v>10340</v>
      </c>
      <c r="L31" s="18" t="n">
        <f aca="false">(L25*INDEX(Assumptions!$C$16:$E$16,(L$5-2025))+L26*INDEX(Assumptions!$C$17:$E$17,(L$5-2025))+L27*INDEX(Assumptions!$C$18:$E$18,(L$5-2025)))*(1+INDEX(Assumptions!$C$19:$E$19,(L$5-2025)))</f>
        <v>10340</v>
      </c>
      <c r="M31" s="18" t="n">
        <f aca="false">(M25*INDEX(Assumptions!$C$16:$E$16,(M$5-2025))+M26*INDEX(Assumptions!$C$17:$E$17,(M$5-2025))+M27*INDEX(Assumptions!$C$18:$E$18,(M$5-2025)))*(1+INDEX(Assumptions!$C$19:$E$19,(M$5-2025)))</f>
        <v>10340</v>
      </c>
      <c r="N31" s="18" t="n">
        <f aca="false">(N25*INDEX(Assumptions!$C$16:$E$16,(N$5-2025))+N26*INDEX(Assumptions!$C$17:$E$17,(N$5-2025))+N27*INDEX(Assumptions!$C$18:$E$18,(N$5-2025)))*(1+INDEX(Assumptions!$C$19:$E$19,(N$5-2025)))</f>
        <v>10340</v>
      </c>
      <c r="O31" s="18" t="n">
        <f aca="false">(O25*INDEX(Assumptions!$C$16:$E$16,(O$5-2025))+O26*INDEX(Assumptions!$C$17:$E$17,(O$5-2025))+O27*INDEX(Assumptions!$C$18:$E$18,(O$5-2025)))*(1+INDEX(Assumptions!$C$19:$E$19,(O$5-2025)))</f>
        <v>16940</v>
      </c>
      <c r="P31" s="18" t="n">
        <f aca="false">(P25*INDEX(Assumptions!$C$16:$E$16,(P$5-2025))+P26*INDEX(Assumptions!$C$17:$E$17,(P$5-2025))+P27*INDEX(Assumptions!$C$18:$E$18,(P$5-2025)))*(1+INDEX(Assumptions!$C$19:$E$19,(P$5-2025)))</f>
        <v>16940</v>
      </c>
      <c r="Q31" s="18" t="n">
        <f aca="false">(Q25*INDEX(Assumptions!$C$16:$E$16,(Q$5-2025))+Q26*INDEX(Assumptions!$C$17:$E$17,(Q$5-2025))+Q27*INDEX(Assumptions!$C$18:$E$18,(Q$5-2025)))*(1+INDEX(Assumptions!$C$19:$E$19,(Q$5-2025)))</f>
        <v>16940</v>
      </c>
      <c r="R31" s="18" t="n">
        <f aca="false">(R25*INDEX(Assumptions!$C$16:$E$16,(R$5-2025))+R26*INDEX(Assumptions!$C$17:$E$17,(R$5-2025))+R27*INDEX(Assumptions!$C$18:$E$18,(R$5-2025)))*(1+INDEX(Assumptions!$C$19:$E$19,(R$5-2025)))</f>
        <v>23540</v>
      </c>
      <c r="S31" s="18" t="n">
        <f aca="false">(S25*INDEX(Assumptions!$C$16:$E$16,(S$5-2025))+S26*INDEX(Assumptions!$C$17:$E$17,(S$5-2025))+S27*INDEX(Assumptions!$C$18:$E$18,(S$5-2025)))*(1+INDEX(Assumptions!$C$19:$E$19,(S$5-2025)))</f>
        <v>23540</v>
      </c>
      <c r="T31" s="18" t="n">
        <f aca="false">(T25*INDEX(Assumptions!$C$16:$E$16,(T$5-2025))+T26*INDEX(Assumptions!$C$17:$E$17,(T$5-2025))+T27*INDEX(Assumptions!$C$18:$E$18,(T$5-2025)))*(1+INDEX(Assumptions!$C$19:$E$19,(T$5-2025)))</f>
        <v>30140</v>
      </c>
      <c r="U31" s="18" t="n">
        <f aca="false">(U25*INDEX(Assumptions!$C$16:$E$16,(U$5-2025))+U26*INDEX(Assumptions!$C$17:$E$17,(U$5-2025))+U27*INDEX(Assumptions!$C$18:$E$18,(U$5-2025)))*(1+INDEX(Assumptions!$C$19:$E$19,(U$5-2025)))</f>
        <v>32560</v>
      </c>
      <c r="V31" s="18" t="n">
        <f aca="false">(V25*INDEX(Assumptions!$C$16:$E$16,(V$5-2025))+V26*INDEX(Assumptions!$C$17:$E$17,(V$5-2025))+V27*INDEX(Assumptions!$C$18:$E$18,(V$5-2025)))*(1+INDEX(Assumptions!$C$19:$E$19,(V$5-2025)))</f>
        <v>32560</v>
      </c>
      <c r="W31" s="18" t="n">
        <f aca="false">(W25*INDEX(Assumptions!$C$16:$E$16,(W$5-2025))+W26*INDEX(Assumptions!$C$17:$E$17,(W$5-2025))+W27*INDEX(Assumptions!$C$18:$E$18,(W$5-2025)))*(1+INDEX(Assumptions!$C$19:$E$19,(W$5-2025)))</f>
        <v>32560</v>
      </c>
      <c r="X31" s="18" t="n">
        <f aca="false">(X25*INDEX(Assumptions!$C$16:$E$16,(X$5-2025))+X26*INDEX(Assumptions!$C$17:$E$17,(X$5-2025))+X27*INDEX(Assumptions!$C$18:$E$18,(X$5-2025)))*(1+INDEX(Assumptions!$C$19:$E$19,(X$5-2025)))</f>
        <v>34980</v>
      </c>
      <c r="Y31" s="18" t="n">
        <f aca="false">(Y25*INDEX(Assumptions!$C$16:$E$16,(Y$5-2025))+Y26*INDEX(Assumptions!$C$17:$E$17,(Y$5-2025))+Y27*INDEX(Assumptions!$C$18:$E$18,(Y$5-2025)))*(1+INDEX(Assumptions!$C$19:$E$19,(Y$5-2025)))</f>
        <v>34980</v>
      </c>
      <c r="Z31" s="18" t="n">
        <f aca="false">(Z25*INDEX(Assumptions!$C$16:$E$16,(Z$5-2025))+Z26*INDEX(Assumptions!$C$17:$E$17,(Z$5-2025))+Z27*INDEX(Assumptions!$C$18:$E$18,(Z$5-2025)))*(1+INDEX(Assumptions!$C$19:$E$19,(Z$5-2025)))</f>
        <v>34980</v>
      </c>
      <c r="AA31" s="18" t="n">
        <f aca="false">(AA25*INDEX(Assumptions!$C$16:$E$16,(AA$5-2025))+AA26*INDEX(Assumptions!$C$17:$E$17,(AA$5-2025))+AA27*INDEX(Assumptions!$C$18:$E$18,(AA$5-2025)))*(1+INDEX(Assumptions!$C$19:$E$19,(AA$5-2025)))</f>
        <v>42570</v>
      </c>
      <c r="AB31" s="18" t="n">
        <f aca="false">(AB25*INDEX(Assumptions!$C$16:$E$16,(AB$5-2025))+AB26*INDEX(Assumptions!$C$17:$E$17,(AB$5-2025))+AB27*INDEX(Assumptions!$C$18:$E$18,(AB$5-2025)))*(1+INDEX(Assumptions!$C$19:$E$19,(AB$5-2025)))</f>
        <v>42570</v>
      </c>
      <c r="AC31" s="18" t="n">
        <f aca="false">(AC25*INDEX(Assumptions!$C$16:$E$16,(AC$5-2025))+AC26*INDEX(Assumptions!$C$17:$E$17,(AC$5-2025))+AC27*INDEX(Assumptions!$C$18:$E$18,(AC$5-2025)))*(1+INDEX(Assumptions!$C$19:$E$19,(AC$5-2025)))</f>
        <v>42570</v>
      </c>
      <c r="AD31" s="18" t="n">
        <f aca="false">(AD25*INDEX(Assumptions!$C$16:$E$16,(AD$5-2025))+AD26*INDEX(Assumptions!$C$17:$E$17,(AD$5-2025))+AD27*INDEX(Assumptions!$C$18:$E$18,(AD$5-2025)))*(1+INDEX(Assumptions!$C$19:$E$19,(AD$5-2025)))</f>
        <v>45210</v>
      </c>
      <c r="AE31" s="18" t="n">
        <f aca="false">(AE25*INDEX(Assumptions!$C$16:$E$16,(AE$5-2025))+AE26*INDEX(Assumptions!$C$17:$E$17,(AE$5-2025))+AE27*INDEX(Assumptions!$C$18:$E$18,(AE$5-2025)))*(1+INDEX(Assumptions!$C$19:$E$19,(AE$5-2025)))</f>
        <v>45210</v>
      </c>
      <c r="AF31" s="18" t="n">
        <f aca="false">(AF25*INDEX(Assumptions!$C$16:$E$16,(AF$5-2025))+AF26*INDEX(Assumptions!$C$17:$E$17,(AF$5-2025))+AF27*INDEX(Assumptions!$C$18:$E$18,(AF$5-2025)))*(1+INDEX(Assumptions!$C$19:$E$19,(AF$5-2025)))</f>
        <v>45210</v>
      </c>
      <c r="AG31" s="18" t="n">
        <f aca="false">(AG25*INDEX(Assumptions!$C$16:$E$16,(AG$5-2025))+AG26*INDEX(Assumptions!$C$17:$E$17,(AG$5-2025))+AG27*INDEX(Assumptions!$C$18:$E$18,(AG$5-2025)))*(1+INDEX(Assumptions!$C$19:$E$19,(AG$5-2025)))</f>
        <v>48840</v>
      </c>
      <c r="AH31" s="18" t="n">
        <f aca="false">(AH25*INDEX(Assumptions!$C$16:$E$16,(AH$5-2025))+AH26*INDEX(Assumptions!$C$17:$E$17,(AH$5-2025))+AH27*INDEX(Assumptions!$C$18:$E$18,(AH$5-2025)))*(1+INDEX(Assumptions!$C$19:$E$19,(AH$5-2025)))</f>
        <v>48840</v>
      </c>
      <c r="AI31" s="18" t="n">
        <f aca="false">(AI25*INDEX(Assumptions!$C$16:$E$16,(AI$5-2025))+AI26*INDEX(Assumptions!$C$17:$E$17,(AI$5-2025))+AI27*INDEX(Assumptions!$C$18:$E$18,(AI$5-2025)))*(1+INDEX(Assumptions!$C$19:$E$19,(AI$5-2025)))</f>
        <v>48840</v>
      </c>
      <c r="AJ31" s="18" t="n">
        <f aca="false">(AJ25*INDEX(Assumptions!$C$16:$E$16,(AJ$5-2025))+AJ26*INDEX(Assumptions!$C$17:$E$17,(AJ$5-2025))+AJ27*INDEX(Assumptions!$C$18:$E$18,(AJ$5-2025)))*(1+INDEX(Assumptions!$C$19:$E$19,(AJ$5-2025)))</f>
        <v>51480</v>
      </c>
      <c r="AK31" s="18" t="n">
        <f aca="false">(AK25*INDEX(Assumptions!$C$16:$E$16,(AK$5-2025))+AK26*INDEX(Assumptions!$C$17:$E$17,(AK$5-2025))+AK27*INDEX(Assumptions!$C$18:$E$18,(AK$5-2025)))*(1+INDEX(Assumptions!$C$19:$E$19,(AK$5-2025)))</f>
        <v>51480</v>
      </c>
      <c r="AL31" s="18" t="n">
        <f aca="false">(AL25*INDEX(Assumptions!$C$16:$E$16,(AL$5-2025))+AL26*INDEX(Assumptions!$C$17:$E$17,(AL$5-2025))+AL27*INDEX(Assumptions!$C$18:$E$18,(AL$5-2025)))*(1+INDEX(Assumptions!$C$19:$E$19,(AL$5-2025)))</f>
        <v>51480</v>
      </c>
    </row>
    <row r="32" customFormat="false" ht="15" hidden="false" customHeight="false" outlineLevel="0" collapsed="false">
      <c r="A32" s="4" t="s">
        <v>45</v>
      </c>
      <c r="B32" s="4" t="s">
        <v>56</v>
      </c>
      <c r="C32" s="13" t="n">
        <f aca="false">INDEX(Assumptions!$C$22:$E$22,(C$5-2025))</f>
        <v>600</v>
      </c>
      <c r="D32" s="13" t="n">
        <f aca="false">INDEX(Assumptions!$C$22:$E$22,(D$5-2025))</f>
        <v>600</v>
      </c>
      <c r="E32" s="13" t="n">
        <f aca="false">INDEX(Assumptions!$C$22:$E$22,(E$5-2025))</f>
        <v>600</v>
      </c>
      <c r="F32" s="13" t="n">
        <f aca="false">INDEX(Assumptions!$C$22:$E$22,(F$5-2025))</f>
        <v>600</v>
      </c>
      <c r="G32" s="13" t="n">
        <f aca="false">INDEX(Assumptions!$C$22:$E$22,(G$5-2025))</f>
        <v>600</v>
      </c>
      <c r="H32" s="13" t="n">
        <f aca="false">INDEX(Assumptions!$C$22:$E$22,(H$5-2025))</f>
        <v>600</v>
      </c>
      <c r="I32" s="13" t="n">
        <f aca="false">INDEX(Assumptions!$C$22:$E$22,(I$5-2025))</f>
        <v>600</v>
      </c>
      <c r="J32" s="13" t="n">
        <f aca="false">INDEX(Assumptions!$C$22:$E$22,(J$5-2025))</f>
        <v>600</v>
      </c>
      <c r="K32" s="13" t="n">
        <f aca="false">INDEX(Assumptions!$C$22:$E$22,(K$5-2025))</f>
        <v>600</v>
      </c>
      <c r="L32" s="13" t="n">
        <f aca="false">INDEX(Assumptions!$C$22:$E$22,(L$5-2025))</f>
        <v>600</v>
      </c>
      <c r="M32" s="13" t="n">
        <f aca="false">INDEX(Assumptions!$C$22:$E$22,(M$5-2025))</f>
        <v>600</v>
      </c>
      <c r="N32" s="13" t="n">
        <f aca="false">INDEX(Assumptions!$C$22:$E$22,(N$5-2025))</f>
        <v>600</v>
      </c>
      <c r="O32" s="13" t="n">
        <f aca="false">INDEX(Assumptions!$C$22:$E$22,(O$5-2025))</f>
        <v>1500</v>
      </c>
      <c r="P32" s="13" t="n">
        <f aca="false">INDEX(Assumptions!$C$22:$E$22,(P$5-2025))</f>
        <v>1500</v>
      </c>
      <c r="Q32" s="13" t="n">
        <f aca="false">INDEX(Assumptions!$C$22:$E$22,(Q$5-2025))</f>
        <v>1500</v>
      </c>
      <c r="R32" s="13" t="n">
        <f aca="false">INDEX(Assumptions!$C$22:$E$22,(R$5-2025))</f>
        <v>1500</v>
      </c>
      <c r="S32" s="13" t="n">
        <f aca="false">INDEX(Assumptions!$C$22:$E$22,(S$5-2025))</f>
        <v>1500</v>
      </c>
      <c r="T32" s="13" t="n">
        <f aca="false">INDEX(Assumptions!$C$22:$E$22,(T$5-2025))</f>
        <v>1500</v>
      </c>
      <c r="U32" s="13" t="n">
        <f aca="false">INDEX(Assumptions!$C$22:$E$22,(U$5-2025))</f>
        <v>1500</v>
      </c>
      <c r="V32" s="13" t="n">
        <f aca="false">INDEX(Assumptions!$C$22:$E$22,(V$5-2025))</f>
        <v>1500</v>
      </c>
      <c r="W32" s="13" t="n">
        <f aca="false">INDEX(Assumptions!$C$22:$E$22,(W$5-2025))</f>
        <v>1500</v>
      </c>
      <c r="X32" s="13" t="n">
        <f aca="false">INDEX(Assumptions!$C$22:$E$22,(X$5-2025))</f>
        <v>1500</v>
      </c>
      <c r="Y32" s="13" t="n">
        <f aca="false">INDEX(Assumptions!$C$22:$E$22,(Y$5-2025))</f>
        <v>1500</v>
      </c>
      <c r="Z32" s="13" t="n">
        <f aca="false">INDEX(Assumptions!$C$22:$E$22,(Z$5-2025))</f>
        <v>1500</v>
      </c>
      <c r="AA32" s="13" t="n">
        <f aca="false">INDEX(Assumptions!$C$22:$E$22,(AA$5-2025))</f>
        <v>2500</v>
      </c>
      <c r="AB32" s="13" t="n">
        <f aca="false">INDEX(Assumptions!$C$22:$E$22,(AB$5-2025))</f>
        <v>2500</v>
      </c>
      <c r="AC32" s="13" t="n">
        <f aca="false">INDEX(Assumptions!$C$22:$E$22,(AC$5-2025))</f>
        <v>2500</v>
      </c>
      <c r="AD32" s="13" t="n">
        <f aca="false">INDEX(Assumptions!$C$22:$E$22,(AD$5-2025))</f>
        <v>2500</v>
      </c>
      <c r="AE32" s="13" t="n">
        <f aca="false">INDEX(Assumptions!$C$22:$E$22,(AE$5-2025))</f>
        <v>2500</v>
      </c>
      <c r="AF32" s="13" t="n">
        <f aca="false">INDEX(Assumptions!$C$22:$E$22,(AF$5-2025))</f>
        <v>2500</v>
      </c>
      <c r="AG32" s="13" t="n">
        <f aca="false">INDEX(Assumptions!$C$22:$E$22,(AG$5-2025))</f>
        <v>2500</v>
      </c>
      <c r="AH32" s="13" t="n">
        <f aca="false">INDEX(Assumptions!$C$22:$E$22,(AH$5-2025))</f>
        <v>2500</v>
      </c>
      <c r="AI32" s="13" t="n">
        <f aca="false">INDEX(Assumptions!$C$22:$E$22,(AI$5-2025))</f>
        <v>2500</v>
      </c>
      <c r="AJ32" s="13" t="n">
        <f aca="false">INDEX(Assumptions!$C$22:$E$22,(AJ$5-2025))</f>
        <v>2500</v>
      </c>
      <c r="AK32" s="13" t="n">
        <f aca="false">INDEX(Assumptions!$C$22:$E$22,(AK$5-2025))</f>
        <v>2500</v>
      </c>
      <c r="AL32" s="13" t="n">
        <f aca="false">INDEX(Assumptions!$C$22:$E$22,(AL$5-2025))</f>
        <v>2500</v>
      </c>
    </row>
    <row r="33" customFormat="false" ht="15" hidden="false" customHeight="false" outlineLevel="0" collapsed="false">
      <c r="A33" s="4" t="s">
        <v>47</v>
      </c>
      <c r="B33" s="4" t="s">
        <v>56</v>
      </c>
      <c r="C33" s="13" t="n">
        <f aca="false">INDEX(Assumptions!$C$23:$E$23,(C$5-2025))</f>
        <v>400</v>
      </c>
      <c r="D33" s="13" t="n">
        <f aca="false">INDEX(Assumptions!$C$23:$E$23,(D$5-2025))</f>
        <v>400</v>
      </c>
      <c r="E33" s="13" t="n">
        <f aca="false">INDEX(Assumptions!$C$23:$E$23,(E$5-2025))</f>
        <v>400</v>
      </c>
      <c r="F33" s="13" t="n">
        <f aca="false">INDEX(Assumptions!$C$23:$E$23,(F$5-2025))</f>
        <v>400</v>
      </c>
      <c r="G33" s="13" t="n">
        <f aca="false">INDEX(Assumptions!$C$23:$E$23,(G$5-2025))</f>
        <v>400</v>
      </c>
      <c r="H33" s="13" t="n">
        <f aca="false">INDEX(Assumptions!$C$23:$E$23,(H$5-2025))</f>
        <v>400</v>
      </c>
      <c r="I33" s="13" t="n">
        <f aca="false">INDEX(Assumptions!$C$23:$E$23,(I$5-2025))</f>
        <v>400</v>
      </c>
      <c r="J33" s="13" t="n">
        <f aca="false">INDEX(Assumptions!$C$23:$E$23,(J$5-2025))</f>
        <v>400</v>
      </c>
      <c r="K33" s="13" t="n">
        <f aca="false">INDEX(Assumptions!$C$23:$E$23,(K$5-2025))</f>
        <v>400</v>
      </c>
      <c r="L33" s="13" t="n">
        <f aca="false">INDEX(Assumptions!$C$23:$E$23,(L$5-2025))</f>
        <v>400</v>
      </c>
      <c r="M33" s="13" t="n">
        <f aca="false">INDEX(Assumptions!$C$23:$E$23,(M$5-2025))</f>
        <v>400</v>
      </c>
      <c r="N33" s="13" t="n">
        <f aca="false">INDEX(Assumptions!$C$23:$E$23,(N$5-2025))</f>
        <v>400</v>
      </c>
      <c r="O33" s="13" t="n">
        <f aca="false">INDEX(Assumptions!$C$23:$E$23,(O$5-2025))</f>
        <v>1200</v>
      </c>
      <c r="P33" s="13" t="n">
        <f aca="false">INDEX(Assumptions!$C$23:$E$23,(P$5-2025))</f>
        <v>1200</v>
      </c>
      <c r="Q33" s="13" t="n">
        <f aca="false">INDEX(Assumptions!$C$23:$E$23,(Q$5-2025))</f>
        <v>1200</v>
      </c>
      <c r="R33" s="13" t="n">
        <f aca="false">INDEX(Assumptions!$C$23:$E$23,(R$5-2025))</f>
        <v>1200</v>
      </c>
      <c r="S33" s="13" t="n">
        <f aca="false">INDEX(Assumptions!$C$23:$E$23,(S$5-2025))</f>
        <v>1200</v>
      </c>
      <c r="T33" s="13" t="n">
        <f aca="false">INDEX(Assumptions!$C$23:$E$23,(T$5-2025))</f>
        <v>1200</v>
      </c>
      <c r="U33" s="13" t="n">
        <f aca="false">INDEX(Assumptions!$C$23:$E$23,(U$5-2025))</f>
        <v>1200</v>
      </c>
      <c r="V33" s="13" t="n">
        <f aca="false">INDEX(Assumptions!$C$23:$E$23,(V$5-2025))</f>
        <v>1200</v>
      </c>
      <c r="W33" s="13" t="n">
        <f aca="false">INDEX(Assumptions!$C$23:$E$23,(W$5-2025))</f>
        <v>1200</v>
      </c>
      <c r="X33" s="13" t="n">
        <f aca="false">INDEX(Assumptions!$C$23:$E$23,(X$5-2025))</f>
        <v>1200</v>
      </c>
      <c r="Y33" s="13" t="n">
        <f aca="false">INDEX(Assumptions!$C$23:$E$23,(Y$5-2025))</f>
        <v>1200</v>
      </c>
      <c r="Z33" s="13" t="n">
        <f aca="false">INDEX(Assumptions!$C$23:$E$23,(Z$5-2025))</f>
        <v>1200</v>
      </c>
      <c r="AA33" s="13" t="n">
        <f aca="false">INDEX(Assumptions!$C$23:$E$23,(AA$5-2025))</f>
        <v>1800</v>
      </c>
      <c r="AB33" s="13" t="n">
        <f aca="false">INDEX(Assumptions!$C$23:$E$23,(AB$5-2025))</f>
        <v>1800</v>
      </c>
      <c r="AC33" s="13" t="n">
        <f aca="false">INDEX(Assumptions!$C$23:$E$23,(AC$5-2025))</f>
        <v>1800</v>
      </c>
      <c r="AD33" s="13" t="n">
        <f aca="false">INDEX(Assumptions!$C$23:$E$23,(AD$5-2025))</f>
        <v>1800</v>
      </c>
      <c r="AE33" s="13" t="n">
        <f aca="false">INDEX(Assumptions!$C$23:$E$23,(AE$5-2025))</f>
        <v>1800</v>
      </c>
      <c r="AF33" s="13" t="n">
        <f aca="false">INDEX(Assumptions!$C$23:$E$23,(AF$5-2025))</f>
        <v>1800</v>
      </c>
      <c r="AG33" s="13" t="n">
        <f aca="false">INDEX(Assumptions!$C$23:$E$23,(AG$5-2025))</f>
        <v>1800</v>
      </c>
      <c r="AH33" s="13" t="n">
        <f aca="false">INDEX(Assumptions!$C$23:$E$23,(AH$5-2025))</f>
        <v>1800</v>
      </c>
      <c r="AI33" s="13" t="n">
        <f aca="false">INDEX(Assumptions!$C$23:$E$23,(AI$5-2025))</f>
        <v>1800</v>
      </c>
      <c r="AJ33" s="13" t="n">
        <f aca="false">INDEX(Assumptions!$C$23:$E$23,(AJ$5-2025))</f>
        <v>1800</v>
      </c>
      <c r="AK33" s="13" t="n">
        <f aca="false">INDEX(Assumptions!$C$23:$E$23,(AK$5-2025))</f>
        <v>1800</v>
      </c>
      <c r="AL33" s="13" t="n">
        <f aca="false">INDEX(Assumptions!$C$23:$E$23,(AL$5-2025))</f>
        <v>1800</v>
      </c>
    </row>
    <row r="34" customFormat="false" ht="15" hidden="false" customHeight="false" outlineLevel="0" collapsed="false">
      <c r="A34" s="4" t="s">
        <v>48</v>
      </c>
      <c r="B34" s="4" t="s">
        <v>56</v>
      </c>
      <c r="C34" s="13" t="n">
        <f aca="false">INDEX(Assumptions!$C$24:$E$24,(C$5-2025))</f>
        <v>300</v>
      </c>
      <c r="D34" s="13" t="n">
        <f aca="false">INDEX(Assumptions!$C$24:$E$24,(D$5-2025))</f>
        <v>300</v>
      </c>
      <c r="E34" s="13" t="n">
        <f aca="false">INDEX(Assumptions!$C$24:$E$24,(E$5-2025))</f>
        <v>300</v>
      </c>
      <c r="F34" s="13" t="n">
        <f aca="false">INDEX(Assumptions!$C$24:$E$24,(F$5-2025))</f>
        <v>300</v>
      </c>
      <c r="G34" s="13" t="n">
        <f aca="false">INDEX(Assumptions!$C$24:$E$24,(G$5-2025))</f>
        <v>300</v>
      </c>
      <c r="H34" s="13" t="n">
        <f aca="false">INDEX(Assumptions!$C$24:$E$24,(H$5-2025))</f>
        <v>300</v>
      </c>
      <c r="I34" s="13" t="n">
        <f aca="false">INDEX(Assumptions!$C$24:$E$24,(I$5-2025))</f>
        <v>300</v>
      </c>
      <c r="J34" s="13" t="n">
        <f aca="false">INDEX(Assumptions!$C$24:$E$24,(J$5-2025))</f>
        <v>300</v>
      </c>
      <c r="K34" s="13" t="n">
        <f aca="false">INDEX(Assumptions!$C$24:$E$24,(K$5-2025))</f>
        <v>300</v>
      </c>
      <c r="L34" s="13" t="n">
        <f aca="false">INDEX(Assumptions!$C$24:$E$24,(L$5-2025))</f>
        <v>300</v>
      </c>
      <c r="M34" s="13" t="n">
        <f aca="false">INDEX(Assumptions!$C$24:$E$24,(M$5-2025))</f>
        <v>300</v>
      </c>
      <c r="N34" s="13" t="n">
        <f aca="false">INDEX(Assumptions!$C$24:$E$24,(N$5-2025))</f>
        <v>300</v>
      </c>
      <c r="O34" s="13" t="n">
        <f aca="false">INDEX(Assumptions!$C$24:$E$24,(O$5-2025))</f>
        <v>1500</v>
      </c>
      <c r="P34" s="13" t="n">
        <f aca="false">INDEX(Assumptions!$C$24:$E$24,(P$5-2025))</f>
        <v>1500</v>
      </c>
      <c r="Q34" s="13" t="n">
        <f aca="false">INDEX(Assumptions!$C$24:$E$24,(Q$5-2025))</f>
        <v>1500</v>
      </c>
      <c r="R34" s="13" t="n">
        <f aca="false">INDEX(Assumptions!$C$24:$E$24,(R$5-2025))</f>
        <v>1500</v>
      </c>
      <c r="S34" s="13" t="n">
        <f aca="false">INDEX(Assumptions!$C$24:$E$24,(S$5-2025))</f>
        <v>1500</v>
      </c>
      <c r="T34" s="13" t="n">
        <f aca="false">INDEX(Assumptions!$C$24:$E$24,(T$5-2025))</f>
        <v>1500</v>
      </c>
      <c r="U34" s="13" t="n">
        <f aca="false">INDEX(Assumptions!$C$24:$E$24,(U$5-2025))</f>
        <v>1500</v>
      </c>
      <c r="V34" s="13" t="n">
        <f aca="false">INDEX(Assumptions!$C$24:$E$24,(V$5-2025))</f>
        <v>1500</v>
      </c>
      <c r="W34" s="13" t="n">
        <f aca="false">INDEX(Assumptions!$C$24:$E$24,(W$5-2025))</f>
        <v>1500</v>
      </c>
      <c r="X34" s="13" t="n">
        <f aca="false">INDEX(Assumptions!$C$24:$E$24,(X$5-2025))</f>
        <v>1500</v>
      </c>
      <c r="Y34" s="13" t="n">
        <f aca="false">INDEX(Assumptions!$C$24:$E$24,(Y$5-2025))</f>
        <v>1500</v>
      </c>
      <c r="Z34" s="13" t="n">
        <f aca="false">INDEX(Assumptions!$C$24:$E$24,(Z$5-2025))</f>
        <v>1500</v>
      </c>
      <c r="AA34" s="13" t="n">
        <f aca="false">INDEX(Assumptions!$C$24:$E$24,(AA$5-2025))</f>
        <v>1500</v>
      </c>
      <c r="AB34" s="13" t="n">
        <f aca="false">INDEX(Assumptions!$C$24:$E$24,(AB$5-2025))</f>
        <v>1500</v>
      </c>
      <c r="AC34" s="13" t="n">
        <f aca="false">INDEX(Assumptions!$C$24:$E$24,(AC$5-2025))</f>
        <v>1500</v>
      </c>
      <c r="AD34" s="13" t="n">
        <f aca="false">INDEX(Assumptions!$C$24:$E$24,(AD$5-2025))</f>
        <v>1500</v>
      </c>
      <c r="AE34" s="13" t="n">
        <f aca="false">INDEX(Assumptions!$C$24:$E$24,(AE$5-2025))</f>
        <v>1500</v>
      </c>
      <c r="AF34" s="13" t="n">
        <f aca="false">INDEX(Assumptions!$C$24:$E$24,(AF$5-2025))</f>
        <v>1500</v>
      </c>
      <c r="AG34" s="13" t="n">
        <f aca="false">INDEX(Assumptions!$C$24:$E$24,(AG$5-2025))</f>
        <v>1500</v>
      </c>
      <c r="AH34" s="13" t="n">
        <f aca="false">INDEX(Assumptions!$C$24:$E$24,(AH$5-2025))</f>
        <v>1500</v>
      </c>
      <c r="AI34" s="13" t="n">
        <f aca="false">INDEX(Assumptions!$C$24:$E$24,(AI$5-2025))</f>
        <v>1500</v>
      </c>
      <c r="AJ34" s="13" t="n">
        <f aca="false">INDEX(Assumptions!$C$24:$E$24,(AJ$5-2025))</f>
        <v>1500</v>
      </c>
      <c r="AK34" s="13" t="n">
        <f aca="false">INDEX(Assumptions!$C$24:$E$24,(AK$5-2025))</f>
        <v>1500</v>
      </c>
      <c r="AL34" s="13" t="n">
        <f aca="false">INDEX(Assumptions!$C$24:$E$24,(AL$5-2025))</f>
        <v>1500</v>
      </c>
    </row>
    <row r="35" customFormat="false" ht="15" hidden="false" customHeight="false" outlineLevel="0" collapsed="false">
      <c r="A35" s="4" t="s">
        <v>165</v>
      </c>
      <c r="B35" s="4" t="s">
        <v>56</v>
      </c>
      <c r="C35" s="13" t="n">
        <f aca="false">INDEX(Assumptions!$C$25:$E$25,(C$5-2025))</f>
        <v>500</v>
      </c>
      <c r="D35" s="13" t="n">
        <f aca="false">INDEX(Assumptions!$C$25:$E$25,(D$5-2025))</f>
        <v>500</v>
      </c>
      <c r="E35" s="13" t="n">
        <f aca="false">INDEX(Assumptions!$C$25:$E$25,(E$5-2025))</f>
        <v>500</v>
      </c>
      <c r="F35" s="13" t="n">
        <f aca="false">INDEX(Assumptions!$C$25:$E$25,(F$5-2025))</f>
        <v>500</v>
      </c>
      <c r="G35" s="13" t="n">
        <f aca="false">INDEX(Assumptions!$C$25:$E$25,(G$5-2025))</f>
        <v>500</v>
      </c>
      <c r="H35" s="13" t="n">
        <f aca="false">INDEX(Assumptions!$C$25:$E$25,(H$5-2025))</f>
        <v>500</v>
      </c>
      <c r="I35" s="13" t="n">
        <f aca="false">INDEX(Assumptions!$C$25:$E$25,(I$5-2025))</f>
        <v>500</v>
      </c>
      <c r="J35" s="13" t="n">
        <f aca="false">INDEX(Assumptions!$C$25:$E$25,(J$5-2025))</f>
        <v>500</v>
      </c>
      <c r="K35" s="13" t="n">
        <f aca="false">INDEX(Assumptions!$C$25:$E$25,(K$5-2025))</f>
        <v>500</v>
      </c>
      <c r="L35" s="13" t="n">
        <f aca="false">INDEX(Assumptions!$C$25:$E$25,(L$5-2025))</f>
        <v>500</v>
      </c>
      <c r="M35" s="13" t="n">
        <f aca="false">INDEX(Assumptions!$C$25:$E$25,(M$5-2025))</f>
        <v>500</v>
      </c>
      <c r="N35" s="13" t="n">
        <f aca="false">INDEX(Assumptions!$C$25:$E$25,(N$5-2025))</f>
        <v>500</v>
      </c>
      <c r="O35" s="13" t="n">
        <f aca="false">INDEX(Assumptions!$C$25:$E$25,(O$5-2025))</f>
        <v>4000</v>
      </c>
      <c r="P35" s="13" t="n">
        <f aca="false">INDEX(Assumptions!$C$25:$E$25,(P$5-2025))</f>
        <v>4000</v>
      </c>
      <c r="Q35" s="13" t="n">
        <f aca="false">INDEX(Assumptions!$C$25:$E$25,(Q$5-2025))</f>
        <v>4000</v>
      </c>
      <c r="R35" s="13" t="n">
        <f aca="false">INDEX(Assumptions!$C$25:$E$25,(R$5-2025))</f>
        <v>4000</v>
      </c>
      <c r="S35" s="13" t="n">
        <f aca="false">INDEX(Assumptions!$C$25:$E$25,(S$5-2025))</f>
        <v>4000</v>
      </c>
      <c r="T35" s="13" t="n">
        <f aca="false">INDEX(Assumptions!$C$25:$E$25,(T$5-2025))</f>
        <v>4000</v>
      </c>
      <c r="U35" s="13" t="n">
        <f aca="false">INDEX(Assumptions!$C$25:$E$25,(U$5-2025))</f>
        <v>4000</v>
      </c>
      <c r="V35" s="13" t="n">
        <f aca="false">INDEX(Assumptions!$C$25:$E$25,(V$5-2025))</f>
        <v>4000</v>
      </c>
      <c r="W35" s="13" t="n">
        <f aca="false">INDEX(Assumptions!$C$25:$E$25,(W$5-2025))</f>
        <v>4000</v>
      </c>
      <c r="X35" s="13" t="n">
        <f aca="false">INDEX(Assumptions!$C$25:$E$25,(X$5-2025))</f>
        <v>4000</v>
      </c>
      <c r="Y35" s="13" t="n">
        <f aca="false">INDEX(Assumptions!$C$25:$E$25,(Y$5-2025))</f>
        <v>4000</v>
      </c>
      <c r="Z35" s="13" t="n">
        <f aca="false">INDEX(Assumptions!$C$25:$E$25,(Z$5-2025))</f>
        <v>4000</v>
      </c>
      <c r="AA35" s="13" t="n">
        <f aca="false">INDEX(Assumptions!$C$25:$E$25,(AA$5-2025))</f>
        <v>6000</v>
      </c>
      <c r="AB35" s="13" t="n">
        <f aca="false">INDEX(Assumptions!$C$25:$E$25,(AB$5-2025))</f>
        <v>6000</v>
      </c>
      <c r="AC35" s="13" t="n">
        <f aca="false">INDEX(Assumptions!$C$25:$E$25,(AC$5-2025))</f>
        <v>6000</v>
      </c>
      <c r="AD35" s="13" t="n">
        <f aca="false">INDEX(Assumptions!$C$25:$E$25,(AD$5-2025))</f>
        <v>6000</v>
      </c>
      <c r="AE35" s="13" t="n">
        <f aca="false">INDEX(Assumptions!$C$25:$E$25,(AE$5-2025))</f>
        <v>6000</v>
      </c>
      <c r="AF35" s="13" t="n">
        <f aca="false">INDEX(Assumptions!$C$25:$E$25,(AF$5-2025))</f>
        <v>6000</v>
      </c>
      <c r="AG35" s="13" t="n">
        <f aca="false">INDEX(Assumptions!$C$25:$E$25,(AG$5-2025))</f>
        <v>6000</v>
      </c>
      <c r="AH35" s="13" t="n">
        <f aca="false">INDEX(Assumptions!$C$25:$E$25,(AH$5-2025))</f>
        <v>6000</v>
      </c>
      <c r="AI35" s="13" t="n">
        <f aca="false">INDEX(Assumptions!$C$25:$E$25,(AI$5-2025))</f>
        <v>6000</v>
      </c>
      <c r="AJ35" s="13" t="n">
        <f aca="false">INDEX(Assumptions!$C$25:$E$25,(AJ$5-2025))</f>
        <v>6000</v>
      </c>
      <c r="AK35" s="13" t="n">
        <f aca="false">INDEX(Assumptions!$C$25:$E$25,(AK$5-2025))</f>
        <v>6000</v>
      </c>
      <c r="AL35" s="13" t="n">
        <f aca="false">INDEX(Assumptions!$C$25:$E$25,(AL$5-2025))</f>
        <v>6000</v>
      </c>
    </row>
    <row r="36" customFormat="false" ht="15" hidden="false" customHeight="false" outlineLevel="0" collapsed="false">
      <c r="A36" s="4" t="s">
        <v>51</v>
      </c>
      <c r="B36" s="4" t="s">
        <v>56</v>
      </c>
      <c r="C36" s="13" t="n">
        <f aca="false">INDEX(Assumptions!$C$26:$E$26,(C$5-2025))</f>
        <v>300</v>
      </c>
      <c r="D36" s="13" t="n">
        <f aca="false">INDEX(Assumptions!$C$26:$E$26,(D$5-2025))</f>
        <v>300</v>
      </c>
      <c r="E36" s="13" t="n">
        <f aca="false">INDEX(Assumptions!$C$26:$E$26,(E$5-2025))</f>
        <v>300</v>
      </c>
      <c r="F36" s="13" t="n">
        <f aca="false">INDEX(Assumptions!$C$26:$E$26,(F$5-2025))</f>
        <v>300</v>
      </c>
      <c r="G36" s="13" t="n">
        <f aca="false">INDEX(Assumptions!$C$26:$E$26,(G$5-2025))</f>
        <v>300</v>
      </c>
      <c r="H36" s="13" t="n">
        <f aca="false">INDEX(Assumptions!$C$26:$E$26,(H$5-2025))</f>
        <v>300</v>
      </c>
      <c r="I36" s="13" t="n">
        <f aca="false">INDEX(Assumptions!$C$26:$E$26,(I$5-2025))</f>
        <v>300</v>
      </c>
      <c r="J36" s="13" t="n">
        <f aca="false">INDEX(Assumptions!$C$26:$E$26,(J$5-2025))</f>
        <v>300</v>
      </c>
      <c r="K36" s="13" t="n">
        <f aca="false">INDEX(Assumptions!$C$26:$E$26,(K$5-2025))</f>
        <v>300</v>
      </c>
      <c r="L36" s="13" t="n">
        <f aca="false">INDEX(Assumptions!$C$26:$E$26,(L$5-2025))</f>
        <v>300</v>
      </c>
      <c r="M36" s="13" t="n">
        <f aca="false">INDEX(Assumptions!$C$26:$E$26,(M$5-2025))</f>
        <v>300</v>
      </c>
      <c r="N36" s="13" t="n">
        <f aca="false">INDEX(Assumptions!$C$26:$E$26,(N$5-2025))</f>
        <v>300</v>
      </c>
      <c r="O36" s="13" t="n">
        <f aca="false">INDEX(Assumptions!$C$26:$E$26,(O$5-2025))</f>
        <v>3000</v>
      </c>
      <c r="P36" s="13" t="n">
        <f aca="false">INDEX(Assumptions!$C$26:$E$26,(P$5-2025))</f>
        <v>3000</v>
      </c>
      <c r="Q36" s="13" t="n">
        <f aca="false">INDEX(Assumptions!$C$26:$E$26,(Q$5-2025))</f>
        <v>3000</v>
      </c>
      <c r="R36" s="13" t="n">
        <f aca="false">INDEX(Assumptions!$C$26:$E$26,(R$5-2025))</f>
        <v>3000</v>
      </c>
      <c r="S36" s="13" t="n">
        <f aca="false">INDEX(Assumptions!$C$26:$E$26,(S$5-2025))</f>
        <v>3000</v>
      </c>
      <c r="T36" s="13" t="n">
        <f aca="false">INDEX(Assumptions!$C$26:$E$26,(T$5-2025))</f>
        <v>3000</v>
      </c>
      <c r="U36" s="13" t="n">
        <f aca="false">INDEX(Assumptions!$C$26:$E$26,(U$5-2025))</f>
        <v>3000</v>
      </c>
      <c r="V36" s="13" t="n">
        <f aca="false">INDEX(Assumptions!$C$26:$E$26,(V$5-2025))</f>
        <v>3000</v>
      </c>
      <c r="W36" s="13" t="n">
        <f aca="false">INDEX(Assumptions!$C$26:$E$26,(W$5-2025))</f>
        <v>3000</v>
      </c>
      <c r="X36" s="13" t="n">
        <f aca="false">INDEX(Assumptions!$C$26:$E$26,(X$5-2025))</f>
        <v>3000</v>
      </c>
      <c r="Y36" s="13" t="n">
        <f aca="false">INDEX(Assumptions!$C$26:$E$26,(Y$5-2025))</f>
        <v>3000</v>
      </c>
      <c r="Z36" s="13" t="n">
        <f aca="false">INDEX(Assumptions!$C$26:$E$26,(Z$5-2025))</f>
        <v>3000</v>
      </c>
      <c r="AA36" s="13" t="n">
        <f aca="false">INDEX(Assumptions!$C$26:$E$26,(AA$5-2025))</f>
        <v>5000</v>
      </c>
      <c r="AB36" s="13" t="n">
        <f aca="false">INDEX(Assumptions!$C$26:$E$26,(AB$5-2025))</f>
        <v>5000</v>
      </c>
      <c r="AC36" s="13" t="n">
        <f aca="false">INDEX(Assumptions!$C$26:$E$26,(AC$5-2025))</f>
        <v>5000</v>
      </c>
      <c r="AD36" s="13" t="n">
        <f aca="false">INDEX(Assumptions!$C$26:$E$26,(AD$5-2025))</f>
        <v>5000</v>
      </c>
      <c r="AE36" s="13" t="n">
        <f aca="false">INDEX(Assumptions!$C$26:$E$26,(AE$5-2025))</f>
        <v>5000</v>
      </c>
      <c r="AF36" s="13" t="n">
        <f aca="false">INDEX(Assumptions!$C$26:$E$26,(AF$5-2025))</f>
        <v>5000</v>
      </c>
      <c r="AG36" s="13" t="n">
        <f aca="false">INDEX(Assumptions!$C$26:$E$26,(AG$5-2025))</f>
        <v>5000</v>
      </c>
      <c r="AH36" s="13" t="n">
        <f aca="false">INDEX(Assumptions!$C$26:$E$26,(AH$5-2025))</f>
        <v>5000</v>
      </c>
      <c r="AI36" s="13" t="n">
        <f aca="false">INDEX(Assumptions!$C$26:$E$26,(AI$5-2025))</f>
        <v>5000</v>
      </c>
      <c r="AJ36" s="13" t="n">
        <f aca="false">INDEX(Assumptions!$C$26:$E$26,(AJ$5-2025))</f>
        <v>5000</v>
      </c>
      <c r="AK36" s="13" t="n">
        <f aca="false">INDEX(Assumptions!$C$26:$E$26,(AK$5-2025))</f>
        <v>5000</v>
      </c>
      <c r="AL36" s="13" t="n">
        <f aca="false">INDEX(Assumptions!$C$26:$E$26,(AL$5-2025))</f>
        <v>5000</v>
      </c>
    </row>
    <row r="37" customFormat="false" ht="15" hidden="false" customHeight="false" outlineLevel="0" collapsed="false">
      <c r="A37" s="4" t="s">
        <v>52</v>
      </c>
      <c r="B37" s="4" t="s">
        <v>56</v>
      </c>
      <c r="C37" s="13" t="n">
        <f aca="false">INDEX(Assumptions!$C$27:$E$27,(C$5-2025))</f>
        <v>0</v>
      </c>
      <c r="D37" s="13" t="n">
        <f aca="false">INDEX(Assumptions!$C$27:$E$27,(D$5-2025))</f>
        <v>0</v>
      </c>
      <c r="E37" s="13" t="n">
        <f aca="false">INDEX(Assumptions!$C$27:$E$27,(E$5-2025))</f>
        <v>0</v>
      </c>
      <c r="F37" s="13" t="n">
        <f aca="false">INDEX(Assumptions!$C$27:$E$27,(F$5-2025))</f>
        <v>0</v>
      </c>
      <c r="G37" s="13" t="n">
        <f aca="false">INDEX(Assumptions!$C$27:$E$27,(G$5-2025))</f>
        <v>0</v>
      </c>
      <c r="H37" s="13" t="n">
        <f aca="false">INDEX(Assumptions!$C$27:$E$27,(H$5-2025))</f>
        <v>0</v>
      </c>
      <c r="I37" s="13" t="n">
        <f aca="false">INDEX(Assumptions!$C$27:$E$27,(I$5-2025))</f>
        <v>0</v>
      </c>
      <c r="J37" s="13" t="n">
        <f aca="false">INDEX(Assumptions!$C$27:$E$27,(J$5-2025))</f>
        <v>0</v>
      </c>
      <c r="K37" s="13" t="n">
        <f aca="false">INDEX(Assumptions!$C$27:$E$27,(K$5-2025))</f>
        <v>0</v>
      </c>
      <c r="L37" s="13" t="n">
        <f aca="false">INDEX(Assumptions!$C$27:$E$27,(L$5-2025))</f>
        <v>0</v>
      </c>
      <c r="M37" s="13" t="n">
        <f aca="false">INDEX(Assumptions!$C$27:$E$27,(M$5-2025))</f>
        <v>0</v>
      </c>
      <c r="N37" s="13" t="n">
        <f aca="false">INDEX(Assumptions!$C$27:$E$27,(N$5-2025))</f>
        <v>0</v>
      </c>
      <c r="O37" s="13" t="n">
        <f aca="false">INDEX(Assumptions!$C$27:$E$27,(O$5-2025))</f>
        <v>2500</v>
      </c>
      <c r="P37" s="13" t="n">
        <f aca="false">INDEX(Assumptions!$C$27:$E$27,(P$5-2025))</f>
        <v>2500</v>
      </c>
      <c r="Q37" s="13" t="n">
        <f aca="false">INDEX(Assumptions!$C$27:$E$27,(Q$5-2025))</f>
        <v>2500</v>
      </c>
      <c r="R37" s="13" t="n">
        <f aca="false">INDEX(Assumptions!$C$27:$E$27,(R$5-2025))</f>
        <v>2500</v>
      </c>
      <c r="S37" s="13" t="n">
        <f aca="false">INDEX(Assumptions!$C$27:$E$27,(S$5-2025))</f>
        <v>2500</v>
      </c>
      <c r="T37" s="13" t="n">
        <f aca="false">INDEX(Assumptions!$C$27:$E$27,(T$5-2025))</f>
        <v>2500</v>
      </c>
      <c r="U37" s="13" t="n">
        <f aca="false">INDEX(Assumptions!$C$27:$E$27,(U$5-2025))</f>
        <v>2500</v>
      </c>
      <c r="V37" s="13" t="n">
        <f aca="false">INDEX(Assumptions!$C$27:$E$27,(V$5-2025))</f>
        <v>2500</v>
      </c>
      <c r="W37" s="13" t="n">
        <f aca="false">INDEX(Assumptions!$C$27:$E$27,(W$5-2025))</f>
        <v>2500</v>
      </c>
      <c r="X37" s="13" t="n">
        <f aca="false">INDEX(Assumptions!$C$27:$E$27,(X$5-2025))</f>
        <v>2500</v>
      </c>
      <c r="Y37" s="13" t="n">
        <f aca="false">INDEX(Assumptions!$C$27:$E$27,(Y$5-2025))</f>
        <v>2500</v>
      </c>
      <c r="Z37" s="13" t="n">
        <f aca="false">INDEX(Assumptions!$C$27:$E$27,(Z$5-2025))</f>
        <v>2500</v>
      </c>
      <c r="AA37" s="13" t="n">
        <f aca="false">INDEX(Assumptions!$C$27:$E$27,(AA$5-2025))</f>
        <v>3000</v>
      </c>
      <c r="AB37" s="13" t="n">
        <f aca="false">INDEX(Assumptions!$C$27:$E$27,(AB$5-2025))</f>
        <v>3000</v>
      </c>
      <c r="AC37" s="13" t="n">
        <f aca="false">INDEX(Assumptions!$C$27:$E$27,(AC$5-2025))</f>
        <v>3000</v>
      </c>
      <c r="AD37" s="13" t="n">
        <f aca="false">INDEX(Assumptions!$C$27:$E$27,(AD$5-2025))</f>
        <v>3000</v>
      </c>
      <c r="AE37" s="13" t="n">
        <f aca="false">INDEX(Assumptions!$C$27:$E$27,(AE$5-2025))</f>
        <v>3000</v>
      </c>
      <c r="AF37" s="13" t="n">
        <f aca="false">INDEX(Assumptions!$C$27:$E$27,(AF$5-2025))</f>
        <v>3000</v>
      </c>
      <c r="AG37" s="13" t="n">
        <f aca="false">INDEX(Assumptions!$C$27:$E$27,(AG$5-2025))</f>
        <v>3000</v>
      </c>
      <c r="AH37" s="13" t="n">
        <f aca="false">INDEX(Assumptions!$C$27:$E$27,(AH$5-2025))</f>
        <v>3000</v>
      </c>
      <c r="AI37" s="13" t="n">
        <f aca="false">INDEX(Assumptions!$C$27:$E$27,(AI$5-2025))</f>
        <v>3000</v>
      </c>
      <c r="AJ37" s="13" t="n">
        <f aca="false">INDEX(Assumptions!$C$27:$E$27,(AJ$5-2025))</f>
        <v>3000</v>
      </c>
      <c r="AK37" s="13" t="n">
        <f aca="false">INDEX(Assumptions!$C$27:$E$27,(AK$5-2025))</f>
        <v>3000</v>
      </c>
      <c r="AL37" s="13" t="n">
        <f aca="false">INDEX(Assumptions!$C$27:$E$27,(AL$5-2025))</f>
        <v>3000</v>
      </c>
    </row>
    <row r="38" customFormat="false" ht="15" hidden="false" customHeight="false" outlineLevel="0" collapsed="false">
      <c r="A38" s="4" t="s">
        <v>77</v>
      </c>
      <c r="B38" s="4" t="s">
        <v>56</v>
      </c>
      <c r="C38" s="18" t="n">
        <f aca="false">SUM(C31:C37)</f>
        <v>10790</v>
      </c>
      <c r="D38" s="18" t="n">
        <f aca="false">SUM(D31:D37)</f>
        <v>10790</v>
      </c>
      <c r="E38" s="18" t="n">
        <f aca="false">SUM(E31:E37)</f>
        <v>10790</v>
      </c>
      <c r="F38" s="18" t="n">
        <f aca="false">SUM(F31:F37)</f>
        <v>12440</v>
      </c>
      <c r="G38" s="18" t="n">
        <f aca="false">SUM(G31:G37)</f>
        <v>12440</v>
      </c>
      <c r="H38" s="18" t="n">
        <f aca="false">SUM(H31:H37)</f>
        <v>12440</v>
      </c>
      <c r="I38" s="18" t="n">
        <f aca="false">SUM(I31:I37)</f>
        <v>12440</v>
      </c>
      <c r="J38" s="18" t="n">
        <f aca="false">SUM(J31:J37)</f>
        <v>12440</v>
      </c>
      <c r="K38" s="18" t="n">
        <f aca="false">SUM(K31:K37)</f>
        <v>12440</v>
      </c>
      <c r="L38" s="18" t="n">
        <f aca="false">SUM(L31:L37)</f>
        <v>12440</v>
      </c>
      <c r="M38" s="18" t="n">
        <f aca="false">SUM(M31:M37)</f>
        <v>12440</v>
      </c>
      <c r="N38" s="18" t="n">
        <f aca="false">SUM(N31:N37)</f>
        <v>12440</v>
      </c>
      <c r="O38" s="18" t="n">
        <f aca="false">SUM(O31:O37)</f>
        <v>30640</v>
      </c>
      <c r="P38" s="18" t="n">
        <f aca="false">SUM(P31:P37)</f>
        <v>30640</v>
      </c>
      <c r="Q38" s="18" t="n">
        <f aca="false">SUM(Q31:Q37)</f>
        <v>30640</v>
      </c>
      <c r="R38" s="18" t="n">
        <f aca="false">SUM(R31:R37)</f>
        <v>37240</v>
      </c>
      <c r="S38" s="18" t="n">
        <f aca="false">SUM(S31:S37)</f>
        <v>37240</v>
      </c>
      <c r="T38" s="18" t="n">
        <f aca="false">SUM(T31:T37)</f>
        <v>43840</v>
      </c>
      <c r="U38" s="18" t="n">
        <f aca="false">SUM(U31:U37)</f>
        <v>46260</v>
      </c>
      <c r="V38" s="18" t="n">
        <f aca="false">SUM(V31:V37)</f>
        <v>46260</v>
      </c>
      <c r="W38" s="18" t="n">
        <f aca="false">SUM(W31:W37)</f>
        <v>46260</v>
      </c>
      <c r="X38" s="18" t="n">
        <f aca="false">SUM(X31:X37)</f>
        <v>48680</v>
      </c>
      <c r="Y38" s="18" t="n">
        <f aca="false">SUM(Y31:Y37)</f>
        <v>48680</v>
      </c>
      <c r="Z38" s="18" t="n">
        <f aca="false">SUM(Z31:Z37)</f>
        <v>48680</v>
      </c>
      <c r="AA38" s="18" t="n">
        <f aca="false">SUM(AA31:AA37)</f>
        <v>62370</v>
      </c>
      <c r="AB38" s="18" t="n">
        <f aca="false">SUM(AB31:AB37)</f>
        <v>62370</v>
      </c>
      <c r="AC38" s="18" t="n">
        <f aca="false">SUM(AC31:AC37)</f>
        <v>62370</v>
      </c>
      <c r="AD38" s="18" t="n">
        <f aca="false">SUM(AD31:AD37)</f>
        <v>65010</v>
      </c>
      <c r="AE38" s="18" t="n">
        <f aca="false">SUM(AE31:AE37)</f>
        <v>65010</v>
      </c>
      <c r="AF38" s="18" t="n">
        <f aca="false">SUM(AF31:AF37)</f>
        <v>65010</v>
      </c>
      <c r="AG38" s="18" t="n">
        <f aca="false">SUM(AG31:AG37)</f>
        <v>68640</v>
      </c>
      <c r="AH38" s="18" t="n">
        <f aca="false">SUM(AH31:AH37)</f>
        <v>68640</v>
      </c>
      <c r="AI38" s="18" t="n">
        <f aca="false">SUM(AI31:AI37)</f>
        <v>68640</v>
      </c>
      <c r="AJ38" s="18" t="n">
        <f aca="false">SUM(AJ31:AJ37)</f>
        <v>71280</v>
      </c>
      <c r="AK38" s="18" t="n">
        <f aca="false">SUM(AK31:AK37)</f>
        <v>71280</v>
      </c>
      <c r="AL38" s="18" t="n">
        <f aca="false">SUM(AL31:AL37)</f>
        <v>71280</v>
      </c>
    </row>
    <row r="39" customFormat="false" ht="15" hidden="false" customHeight="false" outlineLevel="0" collapsed="false">
      <c r="A39" s="4" t="s">
        <v>166</v>
      </c>
      <c r="B39" s="4" t="s">
        <v>56</v>
      </c>
      <c r="C39" s="18" t="n">
        <f aca="false">C17+C20+C38</f>
        <v>10790</v>
      </c>
      <c r="D39" s="18" t="n">
        <f aca="false">D17+D20+D38</f>
        <v>10790</v>
      </c>
      <c r="E39" s="18" t="n">
        <f aca="false">E17+E20+E38</f>
        <v>10790</v>
      </c>
      <c r="F39" s="18" t="n">
        <f aca="false">F17+F20+F38</f>
        <v>12908</v>
      </c>
      <c r="G39" s="18" t="n">
        <f aca="false">G17+G20+G38</f>
        <v>13220</v>
      </c>
      <c r="H39" s="18" t="n">
        <f aca="false">H17+H20+H38</f>
        <v>13610</v>
      </c>
      <c r="I39" s="18" t="n">
        <f aca="false">I17+I20+I38</f>
        <v>13844</v>
      </c>
      <c r="J39" s="18" t="n">
        <f aca="false">J17+J20+J38</f>
        <v>14078</v>
      </c>
      <c r="K39" s="18" t="n">
        <f aca="false">K17+K20+K38</f>
        <v>14312</v>
      </c>
      <c r="L39" s="18" t="n">
        <f aca="false">L17+L20+L38</f>
        <v>14617.4792</v>
      </c>
      <c r="M39" s="18" t="n">
        <f aca="false">M17+M20+M38</f>
        <v>14924.53638212</v>
      </c>
      <c r="N39" s="18" t="n">
        <f aca="false">N17+N20+N38</f>
        <v>15233.1949317521</v>
      </c>
      <c r="O39" s="18" t="n">
        <f aca="false">O17+O20+O38</f>
        <v>33905.8126545336</v>
      </c>
      <c r="P39" s="18" t="n">
        <f aca="false">P17+P20+P38</f>
        <v>34380.8664228095</v>
      </c>
      <c r="Q39" s="18" t="n">
        <f aca="false">Q17+Q20+Q38</f>
        <v>34858.3923912133</v>
      </c>
      <c r="R39" s="18" t="n">
        <f aca="false">R17+R20+R38</f>
        <v>41938.4270151846</v>
      </c>
      <c r="S39" s="18" t="n">
        <f aca="false">S17+S20+S38</f>
        <v>42421.0070542904</v>
      </c>
      <c r="T39" s="18" t="n">
        <f aca="false">T17+T20+T38</f>
        <v>49506.1695755771</v>
      </c>
      <c r="U39" s="18" t="n">
        <f aca="false">U17+U20+U38</f>
        <v>52758.5940600836</v>
      </c>
      <c r="V39" s="18" t="n">
        <f aca="false">V17+V20+V38</f>
        <v>53595.3476110731</v>
      </c>
      <c r="W39" s="18" t="n">
        <f aca="false">W17+W20+W38</f>
        <v>54436.494094379</v>
      </c>
      <c r="X39" s="18" t="n">
        <f aca="false">X17+X20+X38</f>
        <v>57702.0979085309</v>
      </c>
      <c r="Y39" s="18" t="n">
        <f aca="false">Y17+Y20+Y38</f>
        <v>58552.2239906273</v>
      </c>
      <c r="Z39" s="18" t="n">
        <f aca="false">Z17+Z20+Z38</f>
        <v>59406.9378222642</v>
      </c>
      <c r="AA39" s="18" t="n">
        <f aca="false">AA17+AA20+AA38</f>
        <v>74505.0722413443</v>
      </c>
      <c r="AB39" s="18" t="n">
        <f aca="false">AB17+AB20+AB38</f>
        <v>75920.5885496548</v>
      </c>
      <c r="AC39" s="18" t="n">
        <f aca="false">AC17+AC20+AC38</f>
        <v>77343.5950682811</v>
      </c>
      <c r="AD39" s="18" t="n">
        <f aca="false">AD17+AD20+AD38</f>
        <v>81414.201023833</v>
      </c>
      <c r="AE39" s="18" t="n">
        <f aca="false">AE17+AE20+AE38</f>
        <v>82852.5165584153</v>
      </c>
      <c r="AF39" s="18" t="n">
        <f aca="false">AF17+AF20+AF38</f>
        <v>84298.6527396931</v>
      </c>
      <c r="AG39" s="18" t="n">
        <f aca="false">AG17+AG20+AG38</f>
        <v>89382.7215710528</v>
      </c>
      <c r="AH39" s="18" t="n">
        <f aca="false">AH17+AH20+AH38</f>
        <v>90844.8360018607</v>
      </c>
      <c r="AI39" s="18" t="n">
        <f aca="false">AI17+AI20+AI38</f>
        <v>92315.1099378189</v>
      </c>
      <c r="AJ39" s="18" t="n">
        <f aca="false">AJ17+AJ20+AJ38</f>
        <v>96433.6582514207</v>
      </c>
      <c r="AK39" s="18" t="n">
        <f aca="false">AK17+AK20+AK38</f>
        <v>97920.5967925052</v>
      </c>
      <c r="AL39" s="18" t="n">
        <f aca="false">AL17+AL20+AL38</f>
        <v>99416.0423989139</v>
      </c>
    </row>
    <row r="40" customFormat="false" ht="15" hidden="false" customHeight="false" outlineLevel="0" collapsed="false">
      <c r="A40" s="4" t="s">
        <v>78</v>
      </c>
      <c r="B40" s="4" t="s">
        <v>56</v>
      </c>
      <c r="C40" s="18" t="n">
        <f aca="false">C13-C39</f>
        <v>-10790</v>
      </c>
      <c r="D40" s="18" t="n">
        <f aca="false">D13-D39</f>
        <v>-10790</v>
      </c>
      <c r="E40" s="18" t="n">
        <f aca="false">E13-E39</f>
        <v>-10790</v>
      </c>
      <c r="F40" s="18" t="n">
        <f aca="false">F13-F39</f>
        <v>-11708</v>
      </c>
      <c r="G40" s="18" t="n">
        <f aca="false">G13-G39</f>
        <v>-11220</v>
      </c>
      <c r="H40" s="18" t="n">
        <f aca="false">H13-H39</f>
        <v>-10610</v>
      </c>
      <c r="I40" s="18" t="n">
        <f aca="false">I13-I39</f>
        <v>-10244</v>
      </c>
      <c r="J40" s="18" t="n">
        <f aca="false">J13-J39</f>
        <v>-9878</v>
      </c>
      <c r="K40" s="18" t="n">
        <f aca="false">K13-K39</f>
        <v>-9512</v>
      </c>
      <c r="L40" s="18" t="n">
        <f aca="false">L13-L39</f>
        <v>-9034.1992</v>
      </c>
      <c r="M40" s="18" t="n">
        <f aca="false">M13-M39</f>
        <v>-8553.93027412</v>
      </c>
      <c r="N40" s="18" t="n">
        <f aca="false">N13-N39</f>
        <v>-8071.15664520828</v>
      </c>
      <c r="O40" s="18" t="n">
        <f aca="false">O13-O39</f>
        <v>-25531.9340531655</v>
      </c>
      <c r="P40" s="18" t="n">
        <f aca="false">P13-P39</f>
        <v>-24788.9012361185</v>
      </c>
      <c r="Q40" s="18" t="n">
        <f aca="false">Q13-Q39</f>
        <v>-24042.0016445125</v>
      </c>
      <c r="R40" s="18" t="n">
        <f aca="false">R13-R39</f>
        <v>-29891.1782583009</v>
      </c>
      <c r="S40" s="18" t="n">
        <f aca="false">S13-S39</f>
        <v>-29136.3735817509</v>
      </c>
      <c r="T40" s="18" t="n">
        <f aca="false">T13-T39</f>
        <v>-34977.5296382</v>
      </c>
      <c r="U40" s="18" t="n">
        <f aca="false">U13-U39</f>
        <v>-36095.5323675616</v>
      </c>
      <c r="V40" s="18" t="n">
        <f aca="false">V13-V39</f>
        <v>-34786.763992937</v>
      </c>
      <c r="W40" s="18" t="n">
        <f aca="false">W13-W39</f>
        <v>-33471.1246216123</v>
      </c>
      <c r="X40" s="18" t="n">
        <f aca="false">X13-X39</f>
        <v>-34568.5135276824</v>
      </c>
      <c r="Y40" s="18" t="n">
        <f aca="false">Y13-Y39</f>
        <v>-33238.8291428649</v>
      </c>
      <c r="Z40" s="18" t="n">
        <f aca="false">Z13-Z39</f>
        <v>-31901.9690472278</v>
      </c>
      <c r="AA40" s="18" t="n">
        <f aca="false">AA13-AA39</f>
        <v>-43389.5023917435</v>
      </c>
      <c r="AB40" s="18" t="n">
        <f aca="false">AB13-AB39</f>
        <v>-41175.489704386</v>
      </c>
      <c r="AC40" s="18" t="n">
        <f aca="false">AC13-AC39</f>
        <v>-38949.7615598681</v>
      </c>
      <c r="AD40" s="18" t="n">
        <f aca="false">AD13-AD39</f>
        <v>-39352.147116569</v>
      </c>
      <c r="AE40" s="18" t="n">
        <f aca="false">AE13-AE39</f>
        <v>-37102.4741009402</v>
      </c>
      <c r="AF40" s="18" t="n">
        <f aca="false">AF13-AF39</f>
        <v>-34840.5687917622</v>
      </c>
      <c r="AG40" s="18" t="n">
        <f aca="false">AG13-AG39</f>
        <v>-36196.2560042508</v>
      </c>
      <c r="AH40" s="18" t="n">
        <f aca="false">AH13-AH39</f>
        <v>-33909.3590740128</v>
      </c>
      <c r="AI40" s="18" t="n">
        <f aca="false">AI13-AI39</f>
        <v>-31609.6998408473</v>
      </c>
      <c r="AJ40" s="18" t="n">
        <f aca="false">AJ13-AJ39</f>
        <v>-31937.0986323933</v>
      </c>
      <c r="AK40" s="18" t="n">
        <f aca="false">AK13-AK39</f>
        <v>-29611.3742476201</v>
      </c>
      <c r="AL40" s="18" t="n">
        <f aca="false">AL13-AL39</f>
        <v>-27272.3439401603</v>
      </c>
    </row>
    <row r="41" customFormat="false" ht="15" hidden="false" customHeight="false" outlineLevel="0" collapsed="false">
      <c r="A41" s="7" t="s">
        <v>167</v>
      </c>
      <c r="B41" s="4" t="s">
        <v>56</v>
      </c>
      <c r="C41" s="18" t="n">
        <f aca="false">-C40</f>
        <v>10790</v>
      </c>
      <c r="D41" s="18" t="n">
        <f aca="false">-D40</f>
        <v>10790</v>
      </c>
      <c r="E41" s="18" t="n">
        <f aca="false">-E40</f>
        <v>10790</v>
      </c>
      <c r="F41" s="18" t="n">
        <f aca="false">-F40</f>
        <v>11708</v>
      </c>
      <c r="G41" s="18" t="n">
        <f aca="false">-G40</f>
        <v>11220</v>
      </c>
      <c r="H41" s="18" t="n">
        <f aca="false">-H40</f>
        <v>10610</v>
      </c>
      <c r="I41" s="18" t="n">
        <f aca="false">-I40</f>
        <v>10244</v>
      </c>
      <c r="J41" s="18" t="n">
        <f aca="false">-J40</f>
        <v>9878</v>
      </c>
      <c r="K41" s="18" t="n">
        <f aca="false">-K40</f>
        <v>9512</v>
      </c>
      <c r="L41" s="18" t="n">
        <f aca="false">-L40</f>
        <v>9034.1992</v>
      </c>
      <c r="M41" s="18" t="n">
        <f aca="false">-M40</f>
        <v>8553.93027412</v>
      </c>
      <c r="N41" s="18" t="n">
        <f aca="false">-N40</f>
        <v>8071.15664520828</v>
      </c>
      <c r="O41" s="18" t="n">
        <f aca="false">-O40</f>
        <v>25531.9340531655</v>
      </c>
      <c r="P41" s="18" t="n">
        <f aca="false">-P40</f>
        <v>24788.9012361185</v>
      </c>
      <c r="Q41" s="18" t="n">
        <f aca="false">-Q40</f>
        <v>24042.0016445125</v>
      </c>
      <c r="R41" s="18" t="n">
        <f aca="false">-R40</f>
        <v>29891.1782583009</v>
      </c>
      <c r="S41" s="18" t="n">
        <f aca="false">-S40</f>
        <v>29136.3735817509</v>
      </c>
      <c r="T41" s="18" t="n">
        <f aca="false">-T40</f>
        <v>34977.5296382</v>
      </c>
      <c r="U41" s="18" t="n">
        <f aca="false">-U40</f>
        <v>36095.5323675616</v>
      </c>
      <c r="V41" s="18" t="n">
        <f aca="false">-V40</f>
        <v>34786.763992937</v>
      </c>
      <c r="W41" s="18" t="n">
        <f aca="false">-W40</f>
        <v>33471.1246216123</v>
      </c>
      <c r="X41" s="18" t="n">
        <f aca="false">-X40</f>
        <v>34568.5135276824</v>
      </c>
      <c r="Y41" s="18" t="n">
        <f aca="false">-Y40</f>
        <v>33238.8291428649</v>
      </c>
      <c r="Z41" s="18" t="n">
        <f aca="false">-Z40</f>
        <v>31901.9690472278</v>
      </c>
      <c r="AA41" s="18" t="n">
        <f aca="false">-AA40</f>
        <v>43389.5023917435</v>
      </c>
      <c r="AB41" s="18" t="n">
        <f aca="false">-AB40</f>
        <v>41175.489704386</v>
      </c>
      <c r="AC41" s="18" t="n">
        <f aca="false">-AC40</f>
        <v>38949.7615598681</v>
      </c>
      <c r="AD41" s="18" t="n">
        <f aca="false">-AD40</f>
        <v>39352.147116569</v>
      </c>
      <c r="AE41" s="18" t="n">
        <f aca="false">-AE40</f>
        <v>37102.4741009402</v>
      </c>
      <c r="AF41" s="18" t="n">
        <f aca="false">-AF40</f>
        <v>34840.5687917622</v>
      </c>
      <c r="AG41" s="18" t="n">
        <f aca="false">-AG40</f>
        <v>36196.2560042508</v>
      </c>
      <c r="AH41" s="18" t="n">
        <f aca="false">-AH40</f>
        <v>33909.3590740128</v>
      </c>
      <c r="AI41" s="18" t="n">
        <f aca="false">-AI40</f>
        <v>31609.6998408473</v>
      </c>
      <c r="AJ41" s="18" t="n">
        <f aca="false">-AJ40</f>
        <v>31937.0986323933</v>
      </c>
      <c r="AK41" s="18" t="n">
        <f aca="false">-AK40</f>
        <v>29611.3742476201</v>
      </c>
      <c r="AL41" s="18" t="n">
        <f aca="false">-AL40</f>
        <v>27272.3439401603</v>
      </c>
    </row>
    <row r="43" customFormat="false" ht="15" hidden="false" customHeight="false" outlineLevel="0" collapsed="false">
      <c r="A43" s="7" t="s">
        <v>168</v>
      </c>
      <c r="B43" s="4"/>
    </row>
    <row r="44" customFormat="false" ht="15" hidden="false" customHeight="false" outlineLevel="0" collapsed="false">
      <c r="A44" s="4" t="s">
        <v>169</v>
      </c>
      <c r="B44" s="4" t="s">
        <v>56</v>
      </c>
      <c r="C44" s="13" t="n">
        <f aca="false">Assumptions!$C$30</f>
        <v>220000</v>
      </c>
      <c r="D44" s="18" t="n">
        <f aca="false">C46</f>
        <v>209210</v>
      </c>
      <c r="E44" s="18" t="n">
        <f aca="false">D46</f>
        <v>198420</v>
      </c>
      <c r="F44" s="18" t="n">
        <f aca="false">E46</f>
        <v>187630</v>
      </c>
      <c r="G44" s="18" t="n">
        <f aca="false">F46</f>
        <v>175922</v>
      </c>
      <c r="H44" s="18" t="n">
        <f aca="false">G46</f>
        <v>164702</v>
      </c>
      <c r="I44" s="18" t="n">
        <f aca="false">H46</f>
        <v>154092</v>
      </c>
      <c r="J44" s="18" t="n">
        <f aca="false">I46</f>
        <v>143848</v>
      </c>
      <c r="K44" s="18" t="n">
        <f aca="false">J46</f>
        <v>133970</v>
      </c>
      <c r="L44" s="18" t="n">
        <f aca="false">K46</f>
        <v>124458</v>
      </c>
      <c r="M44" s="18" t="n">
        <f aca="false">L46</f>
        <v>115423.8008</v>
      </c>
      <c r="N44" s="18" t="n">
        <f aca="false">M46</f>
        <v>106869.87052588</v>
      </c>
      <c r="O44" s="18" t="n">
        <f aca="false">N46</f>
        <v>98798.7138806717</v>
      </c>
      <c r="P44" s="18" t="n">
        <f aca="false">O46</f>
        <v>73266.7798275063</v>
      </c>
      <c r="Q44" s="18" t="n">
        <f aca="false">P46</f>
        <v>48477.8785913878</v>
      </c>
      <c r="R44" s="18" t="n">
        <f aca="false">Q46</f>
        <v>1524435.87694688</v>
      </c>
      <c r="S44" s="18" t="n">
        <f aca="false">R46</f>
        <v>1494544.69868857</v>
      </c>
      <c r="T44" s="18" t="n">
        <f aca="false">S46</f>
        <v>1465408.32510682</v>
      </c>
      <c r="U44" s="18" t="n">
        <f aca="false">T46</f>
        <v>1430430.79546862</v>
      </c>
      <c r="V44" s="18" t="n">
        <f aca="false">U46</f>
        <v>1394335.26310106</v>
      </c>
      <c r="W44" s="18" t="n">
        <f aca="false">V46</f>
        <v>1359548.49910812</v>
      </c>
      <c r="X44" s="18" t="n">
        <f aca="false">W46</f>
        <v>1326077.37448651</v>
      </c>
      <c r="Y44" s="18" t="n">
        <f aca="false">X46</f>
        <v>1291508.86095883</v>
      </c>
      <c r="Z44" s="18" t="n">
        <f aca="false">Y46</f>
        <v>1258270.03181597</v>
      </c>
      <c r="AA44" s="18" t="n">
        <f aca="false">Z46</f>
        <v>1226368.06276874</v>
      </c>
      <c r="AB44" s="18" t="n">
        <f aca="false">AA46</f>
        <v>1182978.56037699</v>
      </c>
      <c r="AC44" s="18" t="n">
        <f aca="false">AB46</f>
        <v>1141803.07067261</v>
      </c>
      <c r="AD44" s="18" t="n">
        <f aca="false">AC46</f>
        <v>1102853.30911274</v>
      </c>
      <c r="AE44" s="18" t="n">
        <f aca="false">AD46</f>
        <v>1063501.16199617</v>
      </c>
      <c r="AF44" s="18" t="n">
        <f aca="false">AE46</f>
        <v>1026398.68789523</v>
      </c>
      <c r="AG44" s="18" t="n">
        <f aca="false">AF46</f>
        <v>991558.119103468</v>
      </c>
      <c r="AH44" s="18" t="n">
        <f aca="false">AG46</f>
        <v>955361.863099217</v>
      </c>
      <c r="AI44" s="18" t="n">
        <f aca="false">AH46</f>
        <v>921452.504025204</v>
      </c>
      <c r="AJ44" s="18" t="n">
        <f aca="false">AI46</f>
        <v>889842.804184357</v>
      </c>
      <c r="AK44" s="18" t="n">
        <f aca="false">AJ46</f>
        <v>857905.705551964</v>
      </c>
      <c r="AL44" s="18" t="n">
        <f aca="false">AK46</f>
        <v>828294.331304344</v>
      </c>
    </row>
    <row r="45" customFormat="false" ht="15" hidden="false" customHeight="false" outlineLevel="0" collapsed="false">
      <c r="A45" s="4" t="s">
        <v>80</v>
      </c>
      <c r="B45" s="4" t="s">
        <v>56</v>
      </c>
      <c r="C45" s="18" t="n">
        <f aca="false">IF(AND(C$5=Assumptions!$C$32,C$6=Assumptions!$C$33),Assumptions!$C$31,0)</f>
        <v>0</v>
      </c>
      <c r="D45" s="18" t="n">
        <f aca="false">IF(AND(D$5=Assumptions!$C$32,D$6=Assumptions!$C$33),Assumptions!$C$31,0)</f>
        <v>0</v>
      </c>
      <c r="E45" s="18" t="n">
        <f aca="false">IF(AND(E$5=Assumptions!$C$32,E$6=Assumptions!$C$33),Assumptions!$C$31,0)</f>
        <v>0</v>
      </c>
      <c r="F45" s="18" t="n">
        <f aca="false">IF(AND(F$5=Assumptions!$C$32,F$6=Assumptions!$C$33),Assumptions!$C$31,0)</f>
        <v>0</v>
      </c>
      <c r="G45" s="18" t="n">
        <f aca="false">IF(AND(G$5=Assumptions!$C$32,G$6=Assumptions!$C$33),Assumptions!$C$31,0)</f>
        <v>0</v>
      </c>
      <c r="H45" s="18" t="n">
        <f aca="false">IF(AND(H$5=Assumptions!$C$32,H$6=Assumptions!$C$33),Assumptions!$C$31,0)</f>
        <v>0</v>
      </c>
      <c r="I45" s="18" t="n">
        <f aca="false">IF(AND(I$5=Assumptions!$C$32,I$6=Assumptions!$C$33),Assumptions!$C$31,0)</f>
        <v>0</v>
      </c>
      <c r="J45" s="18" t="n">
        <f aca="false">IF(AND(J$5=Assumptions!$C$32,J$6=Assumptions!$C$33),Assumptions!$C$31,0)</f>
        <v>0</v>
      </c>
      <c r="K45" s="18" t="n">
        <f aca="false">IF(AND(K$5=Assumptions!$C$32,K$6=Assumptions!$C$33),Assumptions!$C$31,0)</f>
        <v>0</v>
      </c>
      <c r="L45" s="18" t="n">
        <f aca="false">IF(AND(L$5=Assumptions!$C$32,L$6=Assumptions!$C$33),Assumptions!$C$31,0)</f>
        <v>0</v>
      </c>
      <c r="M45" s="18" t="n">
        <f aca="false">IF(AND(M$5=Assumptions!$C$32,M$6=Assumptions!$C$33),Assumptions!$C$31,0)</f>
        <v>0</v>
      </c>
      <c r="N45" s="18" t="n">
        <f aca="false">IF(AND(N$5=Assumptions!$C$32,N$6=Assumptions!$C$33),Assumptions!$C$31,0)</f>
        <v>0</v>
      </c>
      <c r="O45" s="18" t="n">
        <f aca="false">IF(AND(O$5=Assumptions!$C$32,O$6=Assumptions!$C$33),Assumptions!$C$31,0)</f>
        <v>0</v>
      </c>
      <c r="P45" s="18" t="n">
        <f aca="false">IF(AND(P$5=Assumptions!$C$32,P$6=Assumptions!$C$33),Assumptions!$C$31,0)</f>
        <v>0</v>
      </c>
      <c r="Q45" s="18" t="n">
        <f aca="false">IF(AND(Q$5=Assumptions!$C$32,Q$6=Assumptions!$C$33),Assumptions!$C$31,0)</f>
        <v>1500000</v>
      </c>
      <c r="R45" s="18" t="n">
        <f aca="false">IF(AND(R$5=Assumptions!$C$32,R$6=Assumptions!$C$33),Assumptions!$C$31,0)</f>
        <v>0</v>
      </c>
      <c r="S45" s="18" t="n">
        <f aca="false">IF(AND(S$5=Assumptions!$C$32,S$6=Assumptions!$C$33),Assumptions!$C$31,0)</f>
        <v>0</v>
      </c>
      <c r="T45" s="18" t="n">
        <f aca="false">IF(AND(T$5=Assumptions!$C$32,T$6=Assumptions!$C$33),Assumptions!$C$31,0)</f>
        <v>0</v>
      </c>
      <c r="U45" s="18" t="n">
        <f aca="false">IF(AND(U$5=Assumptions!$C$32,U$6=Assumptions!$C$33),Assumptions!$C$31,0)</f>
        <v>0</v>
      </c>
      <c r="V45" s="18" t="n">
        <f aca="false">IF(AND(V$5=Assumptions!$C$32,V$6=Assumptions!$C$33),Assumptions!$C$31,0)</f>
        <v>0</v>
      </c>
      <c r="W45" s="18" t="n">
        <f aca="false">IF(AND(W$5=Assumptions!$C$32,W$6=Assumptions!$C$33),Assumptions!$C$31,0)</f>
        <v>0</v>
      </c>
      <c r="X45" s="18" t="n">
        <f aca="false">IF(AND(X$5=Assumptions!$C$32,X$6=Assumptions!$C$33),Assumptions!$C$31,0)</f>
        <v>0</v>
      </c>
      <c r="Y45" s="18" t="n">
        <f aca="false">IF(AND(Y$5=Assumptions!$C$32,Y$6=Assumptions!$C$33),Assumptions!$C$31,0)</f>
        <v>0</v>
      </c>
      <c r="Z45" s="18" t="n">
        <f aca="false">IF(AND(Z$5=Assumptions!$C$32,Z$6=Assumptions!$C$33),Assumptions!$C$31,0)</f>
        <v>0</v>
      </c>
      <c r="AA45" s="18" t="n">
        <f aca="false">IF(AND(AA$5=Assumptions!$C$32,AA$6=Assumptions!$C$33),Assumptions!$C$31,0)</f>
        <v>0</v>
      </c>
      <c r="AB45" s="18" t="n">
        <f aca="false">IF(AND(AB$5=Assumptions!$C$32,AB$6=Assumptions!$C$33),Assumptions!$C$31,0)</f>
        <v>0</v>
      </c>
      <c r="AC45" s="18" t="n">
        <f aca="false">IF(AND(AC$5=Assumptions!$C$32,AC$6=Assumptions!$C$33),Assumptions!$C$31,0)</f>
        <v>0</v>
      </c>
      <c r="AD45" s="18" t="n">
        <f aca="false">IF(AND(AD$5=Assumptions!$C$32,AD$6=Assumptions!$C$33),Assumptions!$C$31,0)</f>
        <v>0</v>
      </c>
      <c r="AE45" s="18" t="n">
        <f aca="false">IF(AND(AE$5=Assumptions!$C$32,AE$6=Assumptions!$C$33),Assumptions!$C$31,0)</f>
        <v>0</v>
      </c>
      <c r="AF45" s="18" t="n">
        <f aca="false">IF(AND(AF$5=Assumptions!$C$32,AF$6=Assumptions!$C$33),Assumptions!$C$31,0)</f>
        <v>0</v>
      </c>
      <c r="AG45" s="18" t="n">
        <f aca="false">IF(AND(AG$5=Assumptions!$C$32,AG$6=Assumptions!$C$33),Assumptions!$C$31,0)</f>
        <v>0</v>
      </c>
      <c r="AH45" s="18" t="n">
        <f aca="false">IF(AND(AH$5=Assumptions!$C$32,AH$6=Assumptions!$C$33),Assumptions!$C$31,0)</f>
        <v>0</v>
      </c>
      <c r="AI45" s="18" t="n">
        <f aca="false">IF(AND(AI$5=Assumptions!$C$32,AI$6=Assumptions!$C$33),Assumptions!$C$31,0)</f>
        <v>0</v>
      </c>
      <c r="AJ45" s="18" t="n">
        <f aca="false">IF(AND(AJ$5=Assumptions!$C$32,AJ$6=Assumptions!$C$33),Assumptions!$C$31,0)</f>
        <v>0</v>
      </c>
      <c r="AK45" s="18" t="n">
        <f aca="false">IF(AND(AK$5=Assumptions!$C$32,AK$6=Assumptions!$C$33),Assumptions!$C$31,0)</f>
        <v>0</v>
      </c>
      <c r="AL45" s="18" t="n">
        <f aca="false">IF(AND(AL$5=Assumptions!$C$32,AL$6=Assumptions!$C$33),Assumptions!$C$31,0)</f>
        <v>0</v>
      </c>
    </row>
    <row r="46" customFormat="false" ht="15" hidden="false" customHeight="false" outlineLevel="0" collapsed="false">
      <c r="A46" s="7" t="s">
        <v>170</v>
      </c>
      <c r="B46" s="4" t="s">
        <v>56</v>
      </c>
      <c r="C46" s="20" t="n">
        <f aca="false">C44+C45-C41</f>
        <v>209210</v>
      </c>
      <c r="D46" s="20" t="n">
        <f aca="false">D44+D45-D41</f>
        <v>198420</v>
      </c>
      <c r="E46" s="20" t="n">
        <f aca="false">E44+E45-E41</f>
        <v>187630</v>
      </c>
      <c r="F46" s="20" t="n">
        <f aca="false">F44+F45-F41</f>
        <v>175922</v>
      </c>
      <c r="G46" s="20" t="n">
        <f aca="false">G44+G45-G41</f>
        <v>164702</v>
      </c>
      <c r="H46" s="20" t="n">
        <f aca="false">H44+H45-H41</f>
        <v>154092</v>
      </c>
      <c r="I46" s="20" t="n">
        <f aca="false">I44+I45-I41</f>
        <v>143848</v>
      </c>
      <c r="J46" s="20" t="n">
        <f aca="false">J44+J45-J41</f>
        <v>133970</v>
      </c>
      <c r="K46" s="20" t="n">
        <f aca="false">K44+K45-K41</f>
        <v>124458</v>
      </c>
      <c r="L46" s="21" t="n">
        <f aca="false">L44+L45-L41</f>
        <v>115423.8008</v>
      </c>
      <c r="M46" s="21" t="n">
        <f aca="false">M44+M45-M41</f>
        <v>106869.87052588</v>
      </c>
      <c r="N46" s="21" t="n">
        <f aca="false">N44+N45-N41</f>
        <v>98798.7138806717</v>
      </c>
      <c r="O46" s="21" t="n">
        <f aca="false">O44+O45-O41</f>
        <v>73266.7798275063</v>
      </c>
      <c r="P46" s="21" t="n">
        <f aca="false">P44+P45-P41</f>
        <v>48477.8785913878</v>
      </c>
      <c r="Q46" s="21" t="n">
        <f aca="false">Q44+Q45-Q41</f>
        <v>1524435.87694688</v>
      </c>
      <c r="R46" s="21" t="n">
        <f aca="false">R44+R45-R41</f>
        <v>1494544.69868857</v>
      </c>
      <c r="S46" s="21" t="n">
        <f aca="false">S44+S45-S41</f>
        <v>1465408.32510682</v>
      </c>
      <c r="T46" s="21" t="n">
        <f aca="false">T44+T45-T41</f>
        <v>1430430.79546862</v>
      </c>
      <c r="U46" s="21" t="n">
        <f aca="false">U44+U45-U41</f>
        <v>1394335.26310106</v>
      </c>
      <c r="V46" s="21" t="n">
        <f aca="false">V44+V45-V41</f>
        <v>1359548.49910812</v>
      </c>
      <c r="W46" s="21" t="n">
        <f aca="false">W44+W45-W41</f>
        <v>1326077.37448651</v>
      </c>
      <c r="X46" s="21" t="n">
        <f aca="false">X44+X45-X41</f>
        <v>1291508.86095883</v>
      </c>
      <c r="Y46" s="21" t="n">
        <f aca="false">Y44+Y45-Y41</f>
        <v>1258270.03181597</v>
      </c>
      <c r="Z46" s="21" t="n">
        <f aca="false">Z44+Z45-Z41</f>
        <v>1226368.06276874</v>
      </c>
      <c r="AA46" s="21" t="n">
        <f aca="false">AA44+AA45-AA41</f>
        <v>1182978.56037699</v>
      </c>
      <c r="AB46" s="21" t="n">
        <f aca="false">AB44+AB45-AB41</f>
        <v>1141803.07067261</v>
      </c>
      <c r="AC46" s="21" t="n">
        <f aca="false">AC44+AC45-AC41</f>
        <v>1102853.30911274</v>
      </c>
      <c r="AD46" s="21" t="n">
        <f aca="false">AD44+AD45-AD41</f>
        <v>1063501.16199617</v>
      </c>
      <c r="AE46" s="21" t="n">
        <f aca="false">AE44+AE45-AE41</f>
        <v>1026398.68789523</v>
      </c>
      <c r="AF46" s="21" t="n">
        <f aca="false">AF44+AF45-AF41</f>
        <v>991558.119103468</v>
      </c>
      <c r="AG46" s="21" t="n">
        <f aca="false">AG44+AG45-AG41</f>
        <v>955361.863099217</v>
      </c>
      <c r="AH46" s="21" t="n">
        <f aca="false">AH44+AH45-AH41</f>
        <v>921452.504025204</v>
      </c>
      <c r="AI46" s="21" t="n">
        <f aca="false">AI44+AI45-AI41</f>
        <v>889842.804184357</v>
      </c>
      <c r="AJ46" s="21" t="n">
        <f aca="false">AJ44+AJ45-AJ41</f>
        <v>857905.705551964</v>
      </c>
      <c r="AK46" s="21" t="n">
        <f aca="false">AK44+AK45-AK41</f>
        <v>828294.331304344</v>
      </c>
      <c r="AL46" s="21" t="n">
        <f aca="false">AL44+AL45-AL41</f>
        <v>801021.987364183</v>
      </c>
    </row>
    <row r="47" customFormat="false" ht="15" hidden="false" customHeight="false" outlineLevel="0" collapsed="false">
      <c r="A47" s="4" t="s">
        <v>171</v>
      </c>
      <c r="B47" s="4" t="s">
        <v>172</v>
      </c>
      <c r="C47" s="19" t="n">
        <f aca="false">IF(AVERAGE(C41:C41)&lt;=0,"n/a",C46/AVERAGE(C41:C41))</f>
        <v>19.389249304912</v>
      </c>
      <c r="D47" s="19" t="n">
        <f aca="false">IF(AVERAGE(C41:D41)&lt;=0,"n/a",D46/AVERAGE(C41:D41))</f>
        <v>18.389249304912</v>
      </c>
      <c r="E47" s="19" t="n">
        <f aca="false">IF(AVERAGE(C41:E41)&lt;=0,"n/a",E46/AVERAGE(C41:E41))</f>
        <v>17.389249304912</v>
      </c>
      <c r="F47" s="19" t="n">
        <f aca="false">IF(AVERAGE(D41:F41)&lt;=0,"n/a",F46/AVERAGE(D41:F41))</f>
        <v>15.8545421773612</v>
      </c>
      <c r="G47" s="19" t="n">
        <f aca="false">IF(AVERAGE(E41:G41)&lt;=0,"n/a",G46/AVERAGE(E41:G41))</f>
        <v>14.654072009016</v>
      </c>
      <c r="H47" s="19" t="n">
        <f aca="false">IF(AVERAGE(F41:H41)&lt;=0,"n/a",H46/AVERAGE(F41:H41))</f>
        <v>13.7836483988312</v>
      </c>
      <c r="I47" s="19" t="n">
        <f aca="false">IF(AVERAGE(G41:I41)&lt;=0,"n/a",I46/AVERAGE(G41:I41))</f>
        <v>13.4546361538941</v>
      </c>
      <c r="J47" s="19" t="n">
        <f aca="false">IF(AVERAGE(H41:J41)&lt;=0,"n/a",J46/AVERAGE(H41:J41))</f>
        <v>13.0778992581023</v>
      </c>
      <c r="K47" s="19" t="n">
        <f aca="false">IF(AVERAGE(I41:K41)&lt;=0,"n/a",K46/AVERAGE(I41:K41))</f>
        <v>12.5995140716744</v>
      </c>
      <c r="L47" s="19" t="n">
        <f aca="false">IF(AVERAGE(J41:L41)&lt;=0,"n/a",L46/AVERAGE(J41:L41))</f>
        <v>12.1822746865636</v>
      </c>
      <c r="M47" s="19" t="n">
        <f aca="false">IF(AVERAGE(K41:M41)&lt;=0,"n/a",M46/AVERAGE(K41:M41))</f>
        <v>11.8305564511717</v>
      </c>
      <c r="N47" s="19" t="n">
        <f aca="false">IF(AVERAGE(L41:N41)&lt;=0,"n/a",N46/AVERAGE(L41:N41))</f>
        <v>11.5512232204601</v>
      </c>
      <c r="O47" s="19" t="n">
        <f aca="false">IF(AVERAGE(M41:O41)&lt;=0,"n/a",O46/AVERAGE(M41:O41))</f>
        <v>5.21384894881287</v>
      </c>
      <c r="P47" s="19" t="n">
        <f aca="false">IF(AVERAGE(N41:P41)&lt;=0,"n/a",P46/AVERAGE(N41:P41))</f>
        <v>2.49064351045465</v>
      </c>
      <c r="Q47" s="19" t="n">
        <f aca="false">IF(AVERAGE(O41:Q41)&lt;=0,"n/a",Q46/AVERAGE(O41:Q41))</f>
        <v>61.4999080106659</v>
      </c>
      <c r="R47" s="19" t="n">
        <f aca="false">IF(AVERAGE(P41:R41)&lt;=0,"n/a",R46/AVERAGE(P41:R41))</f>
        <v>56.9552282053218</v>
      </c>
      <c r="S47" s="19" t="n">
        <f aca="false">IF(AVERAGE(Q41:S41)&lt;=0,"n/a",S46/AVERAGE(Q41:S41))</f>
        <v>52.9222174781204</v>
      </c>
      <c r="T47" s="19" t="n">
        <f aca="false">IF(AVERAGE(R41:T41)&lt;=0,"n/a",T46/AVERAGE(R41:T41))</f>
        <v>45.6495789262059</v>
      </c>
      <c r="U47" s="19" t="n">
        <f aca="false">IF(AVERAGE(S41:U41)&lt;=0,"n/a",U46/AVERAGE(S41:U41))</f>
        <v>41.7426339623496</v>
      </c>
      <c r="V47" s="19" t="n">
        <f aca="false">IF(AVERAGE(T41:V41)&lt;=0,"n/a",V46/AVERAGE(T41:V41))</f>
        <v>38.5287379687788</v>
      </c>
      <c r="W47" s="19" t="n">
        <f aca="false">IF(AVERAGE(U41:W41)&lt;=0,"n/a",W46/AVERAGE(U41:W41))</f>
        <v>38.1226804643187</v>
      </c>
      <c r="X47" s="19" t="n">
        <f aca="false">IF(AVERAGE(V41:X41)&lt;=0,"n/a",X46/AVERAGE(V41:X41))</f>
        <v>37.6802698738517</v>
      </c>
      <c r="Y47" s="19" t="n">
        <f aca="false">IF(AVERAGE(W41:Y41)&lt;=0,"n/a",Y46/AVERAGE(W41:Y41))</f>
        <v>37.2715957929995</v>
      </c>
      <c r="Z47" s="19" t="n">
        <f aca="false">IF(AVERAGE(X41:Z41)&lt;=0,"n/a",Z46/AVERAGE(X41:Z41))</f>
        <v>36.8983009201771</v>
      </c>
      <c r="AA47" s="19" t="n">
        <f aca="false">IF(AVERAGE(Y41:AA41)&lt;=0,"n/a",AA46/AVERAGE(Y41:AA41))</f>
        <v>32.699952567209</v>
      </c>
      <c r="AB47" s="19" t="n">
        <f aca="false">IF(AVERAGE(Z41:AB41)&lt;=0,"n/a",AB46/AVERAGE(Z41:AB41))</f>
        <v>29.4109950014197</v>
      </c>
      <c r="AC47" s="19" t="n">
        <f aca="false">IF(AVERAGE(AA41:AC41)&lt;=0,"n/a",AC46/AVERAGE(AA41:AC41))</f>
        <v>26.786758904551</v>
      </c>
      <c r="AD47" s="19" t="n">
        <f aca="false">IF(AVERAGE(AB41:AD41)&lt;=0,"n/a",AD46/AVERAGE(AB41:AD41))</f>
        <v>26.7038245662086</v>
      </c>
      <c r="AE47" s="19" t="n">
        <f aca="false">IF(AVERAGE(AC41:AE41)&lt;=0,"n/a",AE46/AVERAGE(AC41:AE41))</f>
        <v>26.6817948294534</v>
      </c>
      <c r="AF47" s="19" t="n">
        <f aca="false">IF(AVERAGE(AD41:AF41)&lt;=0,"n/a",AF46/AVERAGE(AD41:AF41))</f>
        <v>26.727789018219</v>
      </c>
      <c r="AG47" s="19" t="n">
        <f aca="false">IF(AVERAGE(AE41:AG41)&lt;=0,"n/a",AG46/AVERAGE(AE41:AG41))</f>
        <v>26.5036450072491</v>
      </c>
      <c r="AH47" s="19" t="n">
        <f aca="false">IF(AVERAGE(AF41:AH41)&lt;=0,"n/a",AH46/AVERAGE(AF41:AH41))</f>
        <v>26.3407149277503</v>
      </c>
      <c r="AI47" s="19" t="n">
        <f aca="false">IF(AVERAGE(AG41:AI41)&lt;=0,"n/a",AI46/AVERAGE(AG41:AI41))</f>
        <v>26.2450980432594</v>
      </c>
      <c r="AJ47" s="19" t="n">
        <f aca="false">IF(AVERAGE(AH41:AJ41)&lt;=0,"n/a",AJ46/AVERAGE(AH41:AJ41))</f>
        <v>26.4089738548124</v>
      </c>
      <c r="AK47" s="19" t="n">
        <f aca="false">IF(AVERAGE(AI41:AK41)&lt;=0,"n/a",AK46/AVERAGE(AI41:AK41))</f>
        <v>26.6738056505116</v>
      </c>
      <c r="AL47" s="19" t="n">
        <f aca="false">IF(AVERAGE(AJ41:AL41)&lt;=0,"n/a",AL46/AVERAGE(AJ41:AL41))</f>
        <v>27.0552112457802</v>
      </c>
    </row>
  </sheetData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&amp;CDEMONSTRATION DOCUMENT — illustrative</oddHeader>
    <oddFooter>&amp;C&amp;7 DEMONSTRATION DOCUMENT — illustrative, prepared for the Capital Q product demo. Not a legal or financial record.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Demonstration data</cp:category>
  <dcterms:created xsi:type="dcterms:W3CDTF">2026-10-22T11:08:20Z</dcterms:created>
  <dc:creator>Capital Q product demo (illustrative)</dc:creator>
  <dc:description>DEMONSTRATION DOCUMENT — illustrative, prepared for the Capital Q product demo. Not a legal or financial record.</dc:description>
  <cp:keywords>demonstration illustrative not a legal or financial record</cp:keywords>
  <dc:language>en-US</dc:language>
  <cp:lastModifiedBy/>
  <dcterms:modified xsi:type="dcterms:W3CDTF">2026-10-22T11:08:20Z</dcterms:modified>
  <cp:revision>0</cp:revision>
  <dc:subject>3-year monthly model</dc:subject>
  <dc:title>Capital Q financial model 2026–2028 — DEMONSTRATION DOCUMENT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