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 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<sst xmlns="http://schemas.openxmlformats.org/spreadsheetml/2006/main" count="37" uniqueCount="36">
  <si>
    <t xml:space="preserve">DEMONSTRATION DOCUMENT — illustrative, prepared for the Capital Q product demo. Not a legal or financial record.</t>
  </si>
  <si>
    <t xml:space="preserve">Capital Q — Cap table (illustrative), as of 30 September 2026</t>
  </si>
  <si>
    <t xml:space="preserve">Founder split, ESOP size and SAFE valuation cap are ILLUSTRATIVE placeholders for the demo; the owner confirms real terms.</t>
  </si>
  <si>
    <t xml:space="preserve">Holder</t>
  </si>
  <si>
    <t xml:space="preserve">Role / instrument</t>
  </si>
  <si>
    <t xml:space="preserve">Shares (pre-round)</t>
  </si>
  <si>
    <t xml:space="preserve">% pre-round</t>
  </si>
  <si>
    <t xml:space="preserve">Shares (pro forma)</t>
  </si>
  <si>
    <t xml:space="preserve">% pro forma</t>
  </si>
  <si>
    <t xml:space="preserve">Note</t>
  </si>
  <si>
    <t xml:space="preserve">David Nwankwo</t>
  </si>
  <si>
    <t xml:space="preserve">Founder &amp; CEO · ordinary shares</t>
  </si>
  <si>
    <t xml:space="preserve">Illustrative split.</t>
  </si>
  <si>
    <t xml:space="preserve">Captain Zino Mario</t>
  </si>
  <si>
    <t xml:space="preserve">Co-founder · ordinary shares</t>
  </si>
  <si>
    <t xml:space="preserve">ESOP pool (unallocated)</t>
  </si>
  <si>
    <t xml:space="preserve">Reserved for employee options</t>
  </si>
  <si>
    <t xml:space="preserve">Engineering hires draw from this pool.</t>
  </si>
  <si>
    <t xml:space="preserve">Pre-seed SAFE investors (proposed)</t>
  </si>
  <si>
    <t xml:space="preserve">Post-money SAFE, converts at next priced round</t>
  </si>
  <si>
    <t xml:space="preserve">Shares shown as-if-converted at the cap.</t>
  </si>
  <si>
    <t xml:space="preserve">Total fully diluted</t>
  </si>
  <si>
    <t xml:space="preserve">Proposed round</t>
  </si>
  <si>
    <t xml:space="preserve">Instrument</t>
  </si>
  <si>
    <t xml:space="preserve">SAFE (post-money valuation cap)</t>
  </si>
  <si>
    <t xml:space="preserve">Matches companies.json: instrument safe, stage pre-seed.</t>
  </si>
  <si>
    <t xml:space="preserve">Amount (USD)</t>
  </si>
  <si>
    <t xml:space="preserve">Matches companies.json raise target.</t>
  </si>
  <si>
    <t xml:space="preserve">Post-money valuation cap (USD)</t>
  </si>
  <si>
    <t xml:space="preserve">ILLUSTRATIVE — not in the Capital Q profile.</t>
  </si>
  <si>
    <t xml:space="preserve">SAFE ownership at the cap</t>
  </si>
  <si>
    <t xml:space="preserve">Amount ÷ post-money cap.</t>
  </si>
  <si>
    <t xml:space="preserve">Target close</t>
  </si>
  <si>
    <t xml:space="preserve">2027-03-31</t>
  </si>
  <si>
    <t xml:space="preserve">Matches companies.json target close date.</t>
  </si>
  <si>
    <t xml:space="preserve">No convertible notes, warrants or other instruments are outstanding in this illustration. Nothing here is a statutory register.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</si>
</sst>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;\(0.0%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4"/>
      <color rgb="FF16140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6140F"/>
        <bgColor rgb="FF000000"/>
      </patternFill>
    </fill>
    <fill>
      <patternFill patternType="solid">
        <fgColor rgb="FFF1EDE4"/>
        <bgColor rgb="FFFFFF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1C1"/>
      </bottom>
      <diagonal/>
    </border>
    <border diagonalUp="false" diagonalDown="false">
      <left/>
      <right/>
      <top style="thin">
        <color rgb="FFD9D1C1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1C1"/>
      <rgbColor rgb="FF808080"/>
      <rgbColor rgb="FF9999FF"/>
      <rgbColor rgb="FF993366"/>
      <rgbColor rgb="FFF1ED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140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21.7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7.3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/>
      <c r="H5" s="6" t="s">
        <v>9</v>
      </c>
    </row>
    <row r="6" customFormat="false" ht="15" hidden="false" customHeight="false" outlineLevel="0" collapsed="false">
      <c r="A6" s="7" t="s">
        <v>10</v>
      </c>
      <c r="B6" s="7" t="s">
        <v>11</v>
      </c>
      <c r="C6" s="8" t="n">
        <v>6000000</v>
      </c>
      <c r="D6" s="9" t="n">
        <f aca="false">C6/$C$10</f>
        <v>0.6</v>
      </c>
      <c r="E6" s="10" t="n">
        <f aca="false">C6</f>
        <v>6000000</v>
      </c>
      <c r="F6" s="9" t="n">
        <f aca="false">E6/$E$10</f>
        <v>0.5099999949</v>
      </c>
      <c r="H6" s="7" t="s">
        <v>12</v>
      </c>
    </row>
    <row r="7" customFormat="false" ht="15" hidden="false" customHeight="false" outlineLevel="0" collapsed="false">
      <c r="A7" s="7" t="s">
        <v>13</v>
      </c>
      <c r="B7" s="7" t="s">
        <v>14</v>
      </c>
      <c r="C7" s="8" t="n">
        <v>3000000</v>
      </c>
      <c r="D7" s="9" t="n">
        <f aca="false">C7/$C$10</f>
        <v>0.3</v>
      </c>
      <c r="E7" s="10" t="n">
        <f aca="false">C7</f>
        <v>3000000</v>
      </c>
      <c r="F7" s="9" t="n">
        <f aca="false">E7/$E$10</f>
        <v>0.25499999745</v>
      </c>
      <c r="H7" s="7" t="s">
        <v>12</v>
      </c>
    </row>
    <row r="8" customFormat="false" ht="15" hidden="false" customHeight="false" outlineLevel="0" collapsed="false">
      <c r="A8" s="7" t="s">
        <v>15</v>
      </c>
      <c r="B8" s="7" t="s">
        <v>16</v>
      </c>
      <c r="C8" s="8" t="n">
        <v>1000000</v>
      </c>
      <c r="D8" s="9" t="n">
        <f aca="false">C8/$C$10</f>
        <v>0.1</v>
      </c>
      <c r="E8" s="10" t="n">
        <f aca="false">C8</f>
        <v>1000000</v>
      </c>
      <c r="F8" s="9" t="n">
        <f aca="false">E8/$E$10</f>
        <v>0.08499999915</v>
      </c>
      <c r="H8" s="7" t="s">
        <v>17</v>
      </c>
    </row>
    <row r="9" customFormat="false" ht="15" hidden="false" customHeight="false" outlineLevel="0" collapsed="false">
      <c r="A9" s="7" t="s">
        <v>18</v>
      </c>
      <c r="B9" s="7" t="s">
        <v>19</v>
      </c>
      <c r="C9" s="10" t="n">
        <v>0</v>
      </c>
      <c r="D9" s="9" t="n">
        <f aca="false">C9/$C$10</f>
        <v>0</v>
      </c>
      <c r="E9" s="10" t="n">
        <f aca="false">ROUND(SUM(C6:C8)*B17/(1-B17),0)</f>
        <v>1764706</v>
      </c>
      <c r="F9" s="9" t="n">
        <f aca="false">E9/$E$10</f>
        <v>0.1500000085</v>
      </c>
      <c r="H9" s="7" t="s">
        <v>20</v>
      </c>
    </row>
    <row r="10" customFormat="false" ht="15" hidden="false" customHeight="false" outlineLevel="0" collapsed="false">
      <c r="A10" s="11" t="s">
        <v>21</v>
      </c>
      <c r="C10" s="12" t="n">
        <f aca="false">SUM(C6:C9)</f>
        <v>10000000</v>
      </c>
      <c r="D10" s="13" t="n">
        <f aca="false">SUM(D6:D9)</f>
        <v>1</v>
      </c>
      <c r="E10" s="12" t="n">
        <f aca="false">SUM(E6:E9)</f>
        <v>11764706</v>
      </c>
      <c r="F10" s="13" t="n">
        <f aca="false">SUM(F6:F9)</f>
        <v>1</v>
      </c>
      <c r="H10" s="11" t="str">
        <f aca="false">IF(AND(ROUND(D10,6)=1,ROUND(F10,6)=1),"Sums to 100%: OK","CHECK")</f>
        <v>Sums to 100%: OK</v>
      </c>
    </row>
    <row r="13" customFormat="false" ht="15" hidden="false" customHeight="false" outlineLevel="0" collapsed="false">
      <c r="A13" s="11" t="s">
        <v>22</v>
      </c>
    </row>
    <row r="14" customFormat="false" ht="15" hidden="false" customHeight="false" outlineLevel="0" collapsed="false">
      <c r="A14" s="7" t="s">
        <v>23</v>
      </c>
      <c r="B14" s="14" t="s">
        <v>24</v>
      </c>
      <c r="H14" s="7" t="s">
        <v>25</v>
      </c>
    </row>
    <row r="15" customFormat="false" ht="15" hidden="false" customHeight="false" outlineLevel="0" collapsed="false">
      <c r="A15" s="7" t="s">
        <v>26</v>
      </c>
      <c r="B15" s="8" t="n">
        <v>1500000</v>
      </c>
      <c r="H15" s="7" t="s">
        <v>27</v>
      </c>
    </row>
    <row r="16" customFormat="false" ht="15" hidden="false" customHeight="false" outlineLevel="0" collapsed="false">
      <c r="A16" s="7" t="s">
        <v>28</v>
      </c>
      <c r="B16" s="15" t="n">
        <v>10000000</v>
      </c>
      <c r="H16" s="7" t="s">
        <v>29</v>
      </c>
    </row>
    <row r="17" customFormat="false" ht="15" hidden="false" customHeight="false" outlineLevel="0" collapsed="false">
      <c r="A17" s="7" t="s">
        <v>30</v>
      </c>
      <c r="B17" s="16" t="n">
        <f aca="false">B15/B16</f>
        <v>0.15</v>
      </c>
      <c r="H17" s="7" t="s">
        <v>31</v>
      </c>
    </row>
    <row r="18" customFormat="false" ht="15" hidden="false" customHeight="false" outlineLevel="0" collapsed="false">
      <c r="A18" s="7" t="s">
        <v>32</v>
      </c>
      <c r="B18" s="14" t="s">
        <v>33</v>
      </c>
      <c r="H18" s="7" t="s">
        <v>34</v>
      </c>
    </row>
    <row r="21" customFormat="false" ht="15" hidden="false" customHeight="false" outlineLevel="0" collapsed="false">
      <c r="A21" s="4" t="s">
        <v>35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&amp;CDEMONSTRATION DOCUMENT — illustrative</oddHeader>
    <oddFooter>&amp;C&amp;7 DEMONSTRATION DOCUMENT — illustrative, prepared for the Capital Q product demo. Not a legal or financial record.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Demonstration data</cp:category>
  <dcterms:created xsi:type="dcterms:W3CDTF">2026-10-22T11:08:20Z</dcterms:created>
  <dc:creator>Capital Q product demo (illustrative)</dc:creator>
  <dc:description>DEMONSTRATION DOCUMENT — illustrative, prepared for the Capital Q product demo. Not a legal or financial record.</dc:description>
  <cp:keywords>demonstration illustrative not a legal or financial record</cp:keywords>
  <dc:language>en-US</dc:language>
  <cp:lastModifiedBy/>
  <dcterms:modified xsi:type="dcterms:W3CDTF">2026-10-22T11:08:20Z</dcterms:modified>
  <cp:revision>0</cp:revision>
  <dc:subject>Cap table, pre-round and pro forma for the proposed pre-seed SAFE</dc:subject>
  <dc:title>Capital Q cap table — DEMONSTRATION DOCUMENT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